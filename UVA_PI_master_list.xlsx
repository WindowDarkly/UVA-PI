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list" sheetId="1" state="visible" r:id="rId3"/>
    <sheet name="Notes" sheetId="2" state="visible" r:id="rId4"/>
  </sheets>
  <definedNames>
    <definedName function="false" hidden="true" localSheetId="0" name="_xlnm._FilterDatabase" vbProcedure="false">'Master list'!$A$1:$K$648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<sst xmlns="http://schemas.openxmlformats.org/spreadsheetml/2006/main" count="5281" uniqueCount="2832">
  <si>
    <t xml:space="preserve">#</t>
  </si>
  <si>
    <t xml:space="preserve">Last</t>
  </si>
  <si>
    <t xml:space="preserve">First</t>
  </si>
  <si>
    <t xml:space="preserve">Role</t>
  </si>
  <si>
    <t xml:space="preserve">Agency</t>
  </si>
  <si>
    <t xml:space="preserve">Active awards</t>
  </si>
  <si>
    <t xml:space="preserve">Email</t>
  </si>
  <si>
    <t xml:space="preserve">Verification</t>
  </si>
  <si>
    <t xml:space="preserve">Current affiliation</t>
  </si>
  <si>
    <t xml:space="preserve">Evidence</t>
  </si>
  <si>
    <t xml:space="preserve">Source</t>
  </si>
  <si>
    <t xml:space="preserve">Abbas</t>
  </si>
  <si>
    <t xml:space="preserve">Tarek</t>
  </si>
  <si>
    <t xml:space="preserve">Contact PI</t>
  </si>
  <si>
    <t xml:space="preserve">NIH</t>
  </si>
  <si>
    <t xml:space="preserve">Possible</t>
  </si>
  <si>
    <t xml:space="preserve">unknown</t>
  </si>
  <si>
    <t xml:space="preserve">Two searches found no page tying Tarek Abbas to UVA.</t>
  </si>
  <si>
    <t xml:space="preserve">Abbate</t>
  </si>
  <si>
    <t xml:space="preserve">Antonio</t>
  </si>
  <si>
    <t xml:space="preserve">Multi-PI</t>
  </si>
  <si>
    <t xml:space="preserve">Confirmed</t>
  </si>
  <si>
    <t xml:space="preserve">UVA School of Medicine, Cardiovascular Medicine</t>
  </si>
  <si>
    <t xml:space="preserve">UVA Health provider profile; he holds the Ruth C. Heede Professor of Cardiology chair at UVA (joined 2022).</t>
  </si>
  <si>
    <t xml:space="preserve">https://uvahealth.com/providers/Antonio-Abbate-1184849168</t>
  </si>
  <si>
    <t xml:space="preserve">Abbott</t>
  </si>
  <si>
    <t xml:space="preserve">Stephen</t>
  </si>
  <si>
    <t xml:space="preserve">UVA Dept of Pharmacology</t>
  </si>
  <si>
    <t xml:space="preserve">UVA faculty listing, plus an Oct 2025 UVA Pharmacology news item naming him as an assistant professor.</t>
  </si>
  <si>
    <t xml:space="preserve">https://med.virginia.edu/pharm/2025/10/02/doug-bayliss-phd-earns-2-8-million-nih-grant-to-study-the-co%E2%82%82-sensing-mechanisms-that-control-breathing/</t>
  </si>
  <si>
    <t xml:space="preserve">Abebayehu</t>
  </si>
  <si>
    <t xml:space="preserve">Daniel</t>
  </si>
  <si>
    <t xml:space="preserve">UVA School of Engineering (likely)</t>
  </si>
  <si>
    <t xml:space="preserve">An undated UVA Today page describes him as a UVA assistant engineering professor; no 2025-2026 profile was found.</t>
  </si>
  <si>
    <t xml:space="preserve">https://news.virginia.edu/node/361451</t>
  </si>
  <si>
    <t xml:space="preserve">Abounader</t>
  </si>
  <si>
    <t xml:space="preserve">Roger</t>
  </si>
  <si>
    <t xml:space="preserve">UVA School of Medicine (as of 2023)</t>
  </si>
  <si>
    <t xml:space="preserve">The only UVA evidence found is a July 2023 School of Medicine newsletter profile.</t>
  </si>
  <si>
    <t xml:space="preserve">https://news.med.virginia.edu/newsletter/7-6-23-issue/</t>
  </si>
  <si>
    <t xml:space="preserve">Absalon</t>
  </si>
  <si>
    <t xml:space="preserve">Sabrina</t>
  </si>
  <si>
    <t xml:space="preserve">Co-PI</t>
  </si>
  <si>
    <t xml:space="preserve">NSF</t>
  </si>
  <si>
    <t xml:space="preserve">sabsalon@iu.edu</t>
  </si>
  <si>
    <t xml:space="preserve">Negative</t>
  </si>
  <si>
    <t xml:space="preserve">iu.edu</t>
  </si>
  <si>
    <t xml:space="preserve">External collaborator: NSF lists only a non-UVA email.</t>
  </si>
  <si>
    <t xml:space="preserve">Agaisse</t>
  </si>
  <si>
    <t xml:space="preserve">Herve</t>
  </si>
  <si>
    <t xml:space="preserve">UVA Dept of Microbiology, Immunology, and Cancer Biology</t>
  </si>
  <si>
    <t xml:space="preserve">Current UVA SOM faculty listing and lab page show him as a professor.</t>
  </si>
  <si>
    <t xml:space="preserve">https://med.virginia.edu/faculty/faculty-listing/hfa5y</t>
  </si>
  <si>
    <t xml:space="preserve">Agarwal</t>
  </si>
  <si>
    <t xml:space="preserve">Chirag</t>
  </si>
  <si>
    <t xml:space="preserve">qze3wn@virginia.edu</t>
  </si>
  <si>
    <t xml:space="preserve">UVA School of Data Science</t>
  </si>
  <si>
    <t xml:space="preserve">UVA Data Science profile, plus an April 2026 UVA seminar listing him as an assistant professor.</t>
  </si>
  <si>
    <t xml:space="preserve">https://datascience.virginia.edu/people/chirag-agarwal</t>
  </si>
  <si>
    <t xml:space="preserve">Ahn</t>
  </si>
  <si>
    <t xml:space="preserve">Yong-Yeol</t>
  </si>
  <si>
    <t xml:space="preserve">PI</t>
  </si>
  <si>
    <t xml:space="preserve">yyahn@virginia.edu</t>
  </si>
  <si>
    <t xml:space="preserve">A 2026 talk announcement names him Quantitative Foundation Distinguished Professor at UVA's School of Data Science; he has a virginia.edu email.</t>
  </si>
  <si>
    <r>
      <rPr>
        <sz val="11"/>
        <color rgb="FF000000"/>
        <rFont val="Arial"/>
        <family val="0"/>
        <charset val="1"/>
      </rPr>
      <t xml:space="preserve">https://www.sicrc.cau.ac.kr/</t>
    </r>
    <r>
      <rPr>
        <sz val="11"/>
        <color rgb="FF000000"/>
        <rFont val="WenQuanYi Zen Hei"/>
        <family val="2"/>
      </rPr>
      <t xml:space="preserve">공지사항</t>
    </r>
    <r>
      <rPr>
        <sz val="11"/>
        <color rgb="FF000000"/>
        <rFont val="Arial"/>
        <family val="0"/>
        <charset val="1"/>
      </rPr>
      <t xml:space="preserve">-</t>
    </r>
    <r>
      <rPr>
        <sz val="11"/>
        <color rgb="FF000000"/>
        <rFont val="WenQuanYi Zen Hei"/>
        <family val="2"/>
      </rPr>
      <t xml:space="preserve">및</t>
    </r>
    <r>
      <rPr>
        <sz val="11"/>
        <color rgb="FF000000"/>
        <rFont val="Arial"/>
        <family val="0"/>
        <charset val="1"/>
      </rPr>
      <t xml:space="preserve">-</t>
    </r>
    <r>
      <rPr>
        <sz val="11"/>
        <color rgb="FF000000"/>
        <rFont val="WenQuanYi Zen Hei"/>
        <family val="2"/>
      </rPr>
      <t xml:space="preserve">새소식</t>
    </r>
    <r>
      <rPr>
        <sz val="11"/>
        <color rgb="FF000000"/>
        <rFont val="Arial"/>
        <family val="0"/>
        <charset val="1"/>
      </rPr>
      <t xml:space="preserve">/notice</t>
    </r>
  </si>
  <si>
    <t xml:space="preserve">Ai</t>
  </si>
  <si>
    <t xml:space="preserve">Huiwang</t>
  </si>
  <si>
    <t xml:space="preserve">UVA Dept of Molecular Physiology &amp; Biological Physics</t>
  </si>
  <si>
    <t xml:space="preserve">UVA Faculty Senate page lists him as a professor, with a committee term ending in 2028.</t>
  </si>
  <si>
    <t xml:space="preserve">https://facultysenate.virginia.edu/node/5491</t>
  </si>
  <si>
    <t xml:space="preserve">Ait-Daoud Tiouririne</t>
  </si>
  <si>
    <t xml:space="preserve">Nassima</t>
  </si>
  <si>
    <t xml:space="preserve">UVA Dept of Psychiatry and Neurobehavioral Sciences (Chair)</t>
  </si>
  <si>
    <t xml:space="preserve">A 2026 Becker's report says UVA named her permanent chair of Psychiatry.</t>
  </si>
  <si>
    <t xml:space="preserve">https://www.beckersbehavioralhealth.com/?p=12094</t>
  </si>
  <si>
    <t xml:space="preserve">Alemazkoor</t>
  </si>
  <si>
    <t xml:space="preserve">Negin</t>
  </si>
  <si>
    <t xml:space="preserve">na7fp@virginia.edu</t>
  </si>
  <si>
    <t xml:space="preserve">UVA Engineering (Link Lab)</t>
  </si>
  <si>
    <t xml:space="preserve">UVA Link Lab faculty listing shows her as an assistant professor.</t>
  </si>
  <si>
    <t xml:space="preserve">https://engineering.virginia.edu/labs-groups/link-lab/participating-faculty?letter=a</t>
  </si>
  <si>
    <t xml:space="preserve">Alemzadeh</t>
  </si>
  <si>
    <t xml:space="preserve">Homa</t>
  </si>
  <si>
    <t xml:space="preserve">ha4d@virginia.edu</t>
  </si>
  <si>
    <t xml:space="preserve">UVA Dept of Electrical and Computer Engineering</t>
  </si>
  <si>
    <t xml:space="preserve">UVA Engineering faculty profile lists her as an associate professor.</t>
  </si>
  <si>
    <t xml:space="preserve">https://engineering.virginia.edu/faculty/homa-alemzadeh</t>
  </si>
  <si>
    <t xml:space="preserve">Alhusen</t>
  </si>
  <si>
    <t xml:space="preserve">Jeanne</t>
  </si>
  <si>
    <t xml:space="preserve">UVA School of Nursing (Interim Dean)</t>
  </si>
  <si>
    <t xml:space="preserve">UVA leadership page says she became interim dean of the School of Nursing in August 2026.</t>
  </si>
  <si>
    <t xml:space="preserve">https://www.uvahealth.com/about/leadership/dean-school-of-nursing</t>
  </si>
  <si>
    <t xml:space="preserve">Allen</t>
  </si>
  <si>
    <t xml:space="preserve">Jason</t>
  </si>
  <si>
    <t xml:space="preserve">UVA Kinesiology / Cardiovascular Medicine</t>
  </si>
  <si>
    <t xml:space="preserve">His Jan 2025 CV, hosted by UVA, and the UVA SOM faculty listing both show him as a professor.</t>
  </si>
  <si>
    <t xml:space="preserve">https://www.cvrc.virginia.edu/wp-content/uploads/2025/01/Jason-D-Allen-Curriculum-Vitae-21-JAN-25.pdf</t>
  </si>
  <si>
    <t xml:space="preserve">Joseph</t>
  </si>
  <si>
    <t xml:space="preserve">Contact PI, Multi-PI</t>
  </si>
  <si>
    <t xml:space="preserve">University of Virginia, Dept. of Psychology</t>
  </si>
  <si>
    <t xml:space="preserve">Joseph P. Allen is described as current Hugh P. Kelly Professor of Psychology at UVA; no evidence he has left.</t>
  </si>
  <si>
    <t xml:space="preserve">https://en.wikipedia.org/wiki/Joseph_P._Allen_(psychologist)</t>
  </si>
  <si>
    <t xml:space="preserve">jgallen@hsph.harvard.edu</t>
  </si>
  <si>
    <t xml:space="preserve">hsph.harvard.edu</t>
  </si>
  <si>
    <t xml:space="preserve">Timothy</t>
  </si>
  <si>
    <t xml:space="preserve">teallen@virginia.edu</t>
  </si>
  <si>
    <t xml:space="preserve">Unknown (grant email virginia.edu)</t>
  </si>
  <si>
    <t xml:space="preserve">Search found no UVA page for Timothy Allen; only namesakes elsewhere.</t>
  </si>
  <si>
    <t xml:space="preserve">Alston</t>
  </si>
  <si>
    <t xml:space="preserve">Sharon</t>
  </si>
  <si>
    <t xml:space="preserve">stalston@nsu.edu</t>
  </si>
  <si>
    <t xml:space="preserve">nsu.edu</t>
  </si>
  <si>
    <t xml:space="preserve">Ambati</t>
  </si>
  <si>
    <t xml:space="preserve">Jayakrishna</t>
  </si>
  <si>
    <t xml:space="preserve">UVA School of Medicine, Ophthalmology</t>
  </si>
  <si>
    <t xml:space="preserve">Current UVA faculty profile; named to The Ophthalmologist Power List 2026.</t>
  </si>
  <si>
    <t xml:space="preserve">https://med.virginia.edu/ophthalmology/faculty/jayakrishna-ambati-md/</t>
  </si>
  <si>
    <t xml:space="preserve">Anderson</t>
  </si>
  <si>
    <t xml:space="preserve">Kelley</t>
  </si>
  <si>
    <t xml:space="preserve">UVA School of Nursing</t>
  </si>
  <si>
    <t xml:space="preserve">Joined UVA Nursing as associate professor in 2024, coming from Georgetown; heart failure research.</t>
  </si>
  <si>
    <t xml:space="preserve">https://nursing.virginia.edu/news/new-faculty-2024/</t>
  </si>
  <si>
    <t xml:space="preserve">Arandjelovic</t>
  </si>
  <si>
    <t xml:space="preserve">Sanja</t>
  </si>
  <si>
    <t xml:space="preserve">Only a 2023 UVA SOM news item lists her as assistant professor with NIH RA awards.</t>
  </si>
  <si>
    <t xml:space="preserve">https://news.med.virginia.edu/?p=12089</t>
  </si>
  <si>
    <t xml:space="preserve">Arnold</t>
  </si>
  <si>
    <t xml:space="preserve">Peter</t>
  </si>
  <si>
    <t xml:space="preserve">pa6z@virginia.edu</t>
  </si>
  <si>
    <t xml:space="preserve">No UVA page found for Peter Arnold in search results.</t>
  </si>
  <si>
    <t xml:space="preserve">Arras</t>
  </si>
  <si>
    <t xml:space="preserve">Philip</t>
  </si>
  <si>
    <t xml:space="preserve">arras@virginia.edu</t>
  </si>
  <si>
    <t xml:space="preserve">UVA Astronomy (as of 2008)</t>
  </si>
  <si>
    <t xml:space="preserve">Only a 2008 UVA News mention of astronomer Philip Arras found.</t>
  </si>
  <si>
    <t xml:space="preserve">https://news.virginia.edu/content/anne-e-bromley?page=161</t>
  </si>
  <si>
    <t xml:space="preserve">Asadi</t>
  </si>
  <si>
    <t xml:space="preserve">Somayeh</t>
  </si>
  <si>
    <t xml:space="preserve">rkn3gr@virginia.edu</t>
  </si>
  <si>
    <t xml:space="preserve">No search result linked Somayeh Asadi to UVA.</t>
  </si>
  <si>
    <t xml:space="preserve">Azimi</t>
  </si>
  <si>
    <t xml:space="preserve">Parham</t>
  </si>
  <si>
    <t xml:space="preserve">pazimi@hsph.harvard.edu</t>
  </si>
  <si>
    <t xml:space="preserve">Badhwar</t>
  </si>
  <si>
    <t xml:space="preserve">Vinay</t>
  </si>
  <si>
    <t xml:space="preserve">West Virginia University (WVU Medicine)</t>
  </si>
  <si>
    <t xml:space="preserve">Chair of Cardiovascular and Thoracic Surgery at WVU and 2026 STS president; Multi-PI co-lead elsewhere.</t>
  </si>
  <si>
    <t xml:space="preserve">https://doctors.wvumedicine.org/profile/?id=598</t>
  </si>
  <si>
    <t xml:space="preserve">Baek</t>
  </si>
  <si>
    <t xml:space="preserve">baek@virginia.edu</t>
  </si>
  <si>
    <t xml:space="preserve">Current UVA Provost/Shannon Center profile lists him as associate professor of data science.</t>
  </si>
  <si>
    <t xml:space="preserve">https://shannon-center.provost.virginia.edu/stephen-baek</t>
  </si>
  <si>
    <t xml:space="preserve">Baessler</t>
  </si>
  <si>
    <t xml:space="preserve">Stefan</t>
  </si>
  <si>
    <t xml:space="preserve">sfb5d@virginia.edu</t>
  </si>
  <si>
    <t xml:space="preserve">No search result confirmed Stefan Baessler at UVA Physics.</t>
  </si>
  <si>
    <t xml:space="preserve">Bailey</t>
  </si>
  <si>
    <t xml:space="preserve">Robert</t>
  </si>
  <si>
    <t xml:space="preserve">rrb5b@virginia.edu</t>
  </si>
  <si>
    <t xml:space="preserve">Common name; no UVA-affiliated Robert Bailey found.</t>
  </si>
  <si>
    <t xml:space="preserve">Bajikar</t>
  </si>
  <si>
    <t xml:space="preserve">Sameer</t>
  </si>
  <si>
    <t xml:space="preserve">UVA School of Medicine, Cell Biology / Cancer Center</t>
  </si>
  <si>
    <t xml:space="preserve">Joined UVA as assistant professor of cell biology in Sept 2024.</t>
  </si>
  <si>
    <t xml:space="preserve">https://med.virginia.edu/cancer-research/about-us/news/news-archive-2024/sameer-bajikar-phd-joins-cancer-center-research-faculty/</t>
  </si>
  <si>
    <t xml:space="preserve">Band</t>
  </si>
  <si>
    <t xml:space="preserve">Lawrence</t>
  </si>
  <si>
    <t xml:space="preserve">lband@virginia.edu</t>
  </si>
  <si>
    <t xml:space="preserve">Search returned nothing relevant for Lawrence Band at UVA.</t>
  </si>
  <si>
    <t xml:space="preserve">Bao</t>
  </si>
  <si>
    <t xml:space="preserve">Huan</t>
  </si>
  <si>
    <t xml:space="preserve">UVA School of Medicine, Molecular Physiology and Biological Physics</t>
  </si>
  <si>
    <t xml:space="preserve">2025 NIH R35 award and a 2026 job posting for the Bao Lab at UVA's Membrane Biology Center; formerly Scripps.</t>
  </si>
  <si>
    <t xml:space="preserve">https://jobs.anitab.org/companies/university-of-virginia-2/jobs/75799533-post-doc-research-associate</t>
  </si>
  <si>
    <t xml:space="preserve">Barker</t>
  </si>
  <si>
    <t xml:space="preserve">Thomas</t>
  </si>
  <si>
    <t xml:space="preserve">UVA Biomedical Engineering</t>
  </si>
  <si>
    <t xml:space="preserve">UVA CVRC faculty profile; FY2026 award administered by UVA.</t>
  </si>
  <si>
    <t xml:space="preserve">https://www.cvrc.virginia.edu/faculty-individual/?Id=147</t>
  </si>
  <si>
    <t xml:space="preserve">Barnes</t>
  </si>
  <si>
    <t xml:space="preserve">Laura</t>
  </si>
  <si>
    <t xml:space="preserve">Contact PI, PI</t>
  </si>
  <si>
    <t xml:space="preserve">NIH, NSF</t>
  </si>
  <si>
    <t xml:space="preserve">lbarnes@virginia.edu</t>
  </si>
  <si>
    <t xml:space="preserve">UVA Systems and Information Engineering</t>
  </si>
  <si>
    <t xml:space="preserve">UVA engineering faculty directory lists her as professor and Link Lab associate director.</t>
  </si>
  <si>
    <t xml:space="preserve">https://engineering.virginia.edu/faculty/b?page=0</t>
  </si>
  <si>
    <t xml:space="preserve">Bates</t>
  </si>
  <si>
    <t xml:space="preserve">jsb9vw@virginia.edu</t>
  </si>
  <si>
    <t xml:space="preserve">No UVA-affiliated Jason Bates found in search.</t>
  </si>
  <si>
    <t xml:space="preserve">Bauer</t>
  </si>
  <si>
    <t xml:space="preserve">Todd</t>
  </si>
  <si>
    <t xml:space="preserve">UVA Health, Surgery (Surgical Oncology)</t>
  </si>
  <si>
    <t xml:space="preserve">Current UVA Health provider page and faculty listing: Watts Professor, Chief of Surgical Oncology.</t>
  </si>
  <si>
    <t xml:space="preserve">https://uvahealth.com/provider/todd-bauer-1568551034</t>
  </si>
  <si>
    <t xml:space="preserve">Bayliss</t>
  </si>
  <si>
    <t xml:space="preserve">Douglas</t>
  </si>
  <si>
    <t xml:space="preserve">UVA School of Medicine, Pharmacology</t>
  </si>
  <si>
    <t xml:space="preserve">UVA SOM pages list him as Pharmacology chair; profiled May 2024; no evidence he has left.</t>
  </si>
  <si>
    <t xml:space="preserve">https://news.med.virginia.edu/newsletter/5-16-24-issue/</t>
  </si>
  <si>
    <t xml:space="preserve">Beenhakker</t>
  </si>
  <si>
    <t xml:space="preserve">Mark</t>
  </si>
  <si>
    <t xml:space="preserve">UVA faculty listing plus May 2025 'Research in Motion' feature.</t>
  </si>
  <si>
    <t xml:space="preserve">https://med.virginia.edu/pharm/2025/05/22/research-in-motion-mark-beenhakker-phd/</t>
  </si>
  <si>
    <t xml:space="preserve">Behl</t>
  </si>
  <si>
    <t xml:space="preserve">Madhur</t>
  </si>
  <si>
    <t xml:space="preserve">mb2kg@virginia.edu</t>
  </si>
  <si>
    <t xml:space="preserve">Search returned no UVA page for Madhur Behl.</t>
  </si>
  <si>
    <t xml:space="preserve">Bekiranov</t>
  </si>
  <si>
    <t xml:space="preserve">sb3de@virginia.edu</t>
  </si>
  <si>
    <t xml:space="preserve">UVA School of Medicine, Biochemistry and Molecular Genetics</t>
  </si>
  <si>
    <t xml:space="preserve">Current med.virginia.edu faculty listing as Professor of BMG; 2023-2025 publications.</t>
  </si>
  <si>
    <t xml:space="preserve">https://med.virginia.edu/faculty/faculty-listing/sb3de/</t>
  </si>
  <si>
    <t xml:space="preserve">Beling</t>
  </si>
  <si>
    <t xml:space="preserve">Andreas</t>
  </si>
  <si>
    <t xml:space="preserve">ab3pj@virginia.edu</t>
  </si>
  <si>
    <t xml:space="preserve">UVA Electrical and Computer Engineering</t>
  </si>
  <si>
    <t xml:space="preserve">UVA Engineering faculty profile; co-author on 2026 Optics Express paper with Joe Campbell.</t>
  </si>
  <si>
    <t xml:space="preserve">https://engineering.virginia.edu/faculty/andreas-beling</t>
  </si>
  <si>
    <t xml:space="preserve">Bell</t>
  </si>
  <si>
    <t xml:space="preserve">Unclear (possibly UVA research associate)</t>
  </si>
  <si>
    <t xml:space="preserve">Only a payroll-site listing of a Laura Bell, Research Associate at UVA; no profile, common name.</t>
  </si>
  <si>
    <t xml:space="preserve">https://openpayrolls.com/employee/brian-belyea-4164</t>
  </si>
  <si>
    <t xml:space="preserve">Bergland</t>
  </si>
  <si>
    <t xml:space="preserve">Alan</t>
  </si>
  <si>
    <t xml:space="preserve">aob2x@virginia.edu</t>
  </si>
  <si>
    <t xml:space="preserve">Likely UVA Biology (unverified)</t>
  </si>
  <si>
    <t xml:space="preserve">Search returned no results for him; UVA Biology affiliation not confirmed by sources.</t>
  </si>
  <si>
    <t xml:space="preserve">Bergner</t>
  </si>
  <si>
    <t xml:space="preserve">Julia</t>
  </si>
  <si>
    <t xml:space="preserve">jeb2md@virginia.edu</t>
  </si>
  <si>
    <t xml:space="preserve">UVA Mathematics</t>
  </si>
  <si>
    <t xml:space="preserve">Professor of Mathematics at UVA since 2016; UVA PhD students advised through 2025.</t>
  </si>
  <si>
    <t xml:space="preserve">https://en.wikipedia.org/wiki/Julie_Bergner</t>
  </si>
  <si>
    <t xml:space="preserve">Bezzo</t>
  </si>
  <si>
    <t xml:space="preserve">Nicola</t>
  </si>
  <si>
    <t xml:space="preserve">nb6be@virginia.edu</t>
  </si>
  <si>
    <t xml:space="preserve">Likely UVA Engineering (unverified)</t>
  </si>
  <si>
    <t xml:space="preserve">Search returned no results for Bezzo; affiliation not confirmed.</t>
  </si>
  <si>
    <t xml:space="preserve">Bhowmick</t>
  </si>
  <si>
    <t xml:space="preserve">Aklant</t>
  </si>
  <si>
    <t xml:space="preserve">whm4dg@virginia.edu</t>
  </si>
  <si>
    <t xml:space="preserve">UVA Astronomy (GECO Fellow, postdoc)</t>
  </si>
  <si>
    <t xml:space="preserve">Listed as GECO Fellow in UVA Astronomy people directory; postdoc, no date given.</t>
  </si>
  <si>
    <t xml:space="preserve">https://astronomy.as.virginia.edu/node/3696</t>
  </si>
  <si>
    <t xml:space="preserve">Bielinsky</t>
  </si>
  <si>
    <t xml:space="preserve">Anja-Katrin</t>
  </si>
  <si>
    <t xml:space="preserve">UVA School of Medicine, Chair of Biochemistry and Molecular Genetics</t>
  </si>
  <si>
    <t xml:space="preserve">UVA BMG pages list her as Chair (since 2022) with a Pinn Hall lab.</t>
  </si>
  <si>
    <t xml:space="preserve">https://med.virginia.edu/bmg/faculty-seeking-phd-students/</t>
  </si>
  <si>
    <t xml:space="preserve">Bilchick</t>
  </si>
  <si>
    <t xml:space="preserve">Kenneth</t>
  </si>
  <si>
    <t xml:space="preserve">kcb7f@uvahealth.org</t>
  </si>
  <si>
    <t xml:space="preserve">UVA Health, Cardiovascular Medicine</t>
  </si>
  <si>
    <t xml:space="preserve">Current UVA Health provider profile and med.virginia.edu faculty listing as Professor of Medicine.</t>
  </si>
  <si>
    <t xml:space="preserve">https://uvahealth.com/providers/kenneth-bilchick-1578619771</t>
  </si>
  <si>
    <t xml:space="preserve">Bilodeau</t>
  </si>
  <si>
    <t xml:space="preserve">Camille</t>
  </si>
  <si>
    <t xml:space="preserve">PI, Co-PI</t>
  </si>
  <si>
    <t xml:space="preserve">cur5wz@virginia.edu</t>
  </si>
  <si>
    <t xml:space="preserve">UVA Chemical Engineering</t>
  </si>
  <si>
    <t xml:space="preserve">UVA Engineering faculty listing; 2025 NSF CAREER award news as UVA assistant professor.</t>
  </si>
  <si>
    <t xml:space="preserve">https://engineering.virginia.edu/faculty/b?page=2</t>
  </si>
  <si>
    <t xml:space="preserve">Bland</t>
  </si>
  <si>
    <t xml:space="preserve">Michelle</t>
  </si>
  <si>
    <t xml:space="preserve">Associate Professor of Pharmacology; May 2025 UVA Pharmacology 'Research in Motion' feature.</t>
  </si>
  <si>
    <t xml:space="preserve">https://med.virginia.edu/pharm/category/news/page/3/</t>
  </si>
  <si>
    <t xml:space="preserve">Blemker</t>
  </si>
  <si>
    <t xml:space="preserve">Silvia</t>
  </si>
  <si>
    <t xml:space="preserve">UVA Engineering profile; Jan/Feb 2025 UVA School of Medicine news (NAI Fellow, Innovator of the Year).</t>
  </si>
  <si>
    <t xml:space="preserve">https://engineering.virginia.edu/faculty/silvia-salinas-blemker</t>
  </si>
  <si>
    <t xml:space="preserve">Bolton</t>
  </si>
  <si>
    <t xml:space="preserve">Matthew</t>
  </si>
  <si>
    <t xml:space="preserve">mlb4b@virginia.edu</t>
  </si>
  <si>
    <t xml:space="preserve">Associate Professor and Director of Graduate Studies at UVA SIE; faculty senate term through 2027.</t>
  </si>
  <si>
    <t xml:space="preserve">https://engineering.virginia.edu/department/systems-and-information-engineering/people</t>
  </si>
  <si>
    <t xml:space="preserve">Bonfand-Caldeira</t>
  </si>
  <si>
    <t xml:space="preserve">Mélisse</t>
  </si>
  <si>
    <t xml:space="preserve">pgu4gb@virginia.edu</t>
  </si>
  <si>
    <t xml:space="preserve">UVA Astronomy (VICO postdoctoral fellow)</t>
  </si>
  <si>
    <t xml:space="preserve">Listed as VICO fellow in UVA Astronomy directory and Garrod group; 2024 department news.</t>
  </si>
  <si>
    <t xml:space="preserve">Borish</t>
  </si>
  <si>
    <t xml:space="preserve">Larry</t>
  </si>
  <si>
    <t xml:space="preserve">UVA Health, Asthma/Allergy/Immunology</t>
  </si>
  <si>
    <t xml:space="preserve">Current UVA Health provider profile (accepting patients) as Professor of Medicine.</t>
  </si>
  <si>
    <t xml:space="preserve">https://www.uvahealth.com/providers/Larry-Borish-1316016934</t>
  </si>
  <si>
    <t xml:space="preserve">Bradshaw</t>
  </si>
  <si>
    <t xml:space="preserve">Catherine</t>
  </si>
  <si>
    <t xml:space="preserve">UVA School of Education and Human Development</t>
  </si>
  <si>
    <t xml:space="preserve">UVA Senior Associate Dean for Research; received 2025 SPR Presidential Award.</t>
  </si>
  <si>
    <t xml:space="preserve">https://en.wikipedia.org/wiki/Catherine_P._Bradshaw</t>
  </si>
  <si>
    <t xml:space="preserve">Bredella</t>
  </si>
  <si>
    <t xml:space="preserve">Miriam</t>
  </si>
  <si>
    <t xml:space="preserve">NYU Langone Health</t>
  </si>
  <si>
    <t xml:space="preserve">UVA page describes her as NYU Langone Associate Dean/CTSI Director; she only gave a 2024 UVA visiting lecture.</t>
  </si>
  <si>
    <t xml:space="preserve">https://med.virginia.edu/radiology/2024/10/22/uva-radiology-visiting-professor-lecture-revealing-the-unseen-with-dr-miriam-a-bredella/</t>
  </si>
  <si>
    <t xml:space="preserve">Brenton</t>
  </si>
  <si>
    <t xml:space="preserve">James</t>
  </si>
  <si>
    <t xml:space="preserve">UVA Health Children's, Pediatric Neurology</t>
  </si>
  <si>
    <t xml:space="preserve">J. Nicholas Brenton leads UVA Health Children's Pediatric MS clinic per current uvahealth.com pages (first name James inferred from initial).</t>
  </si>
  <si>
    <t xml:space="preserve">https://childrens.uvahealth.com/conditions/pediatric-multiple-sclerosis</t>
  </si>
  <si>
    <t xml:space="preserve">Breton</t>
  </si>
  <si>
    <t xml:space="preserve">Marc</t>
  </si>
  <si>
    <t xml:space="preserve">UVA Center for Diabetes Technology</t>
  </si>
  <si>
    <t xml:space="preserve">Current UVA Center for Diabetes Technology pages list him as faculty/associate director of research.</t>
  </si>
  <si>
    <t xml:space="preserve">https://med.virginia.edu/diabetes-technology/?p=164</t>
  </si>
  <si>
    <t xml:space="preserve">Brodie</t>
  </si>
  <si>
    <t xml:space="preserve">Edmund</t>
  </si>
  <si>
    <t xml:space="preserve">bbrodie@virginia.edu</t>
  </si>
  <si>
    <t xml:space="preserve">UVA Dept of Biology / Mountain Lake Biological Station</t>
  </si>
  <si>
    <t xml:space="preserve">UVA Biology profile lists him as B.F.D. Runk Professor and MLBS director.</t>
  </si>
  <si>
    <t xml:space="preserve">https://bio.as.virginia.edu/people/edmund-d-brodie-iii</t>
  </si>
  <si>
    <t xml:space="preserve">Brown</t>
  </si>
  <si>
    <t xml:space="preserve">Donald</t>
  </si>
  <si>
    <t xml:space="preserve">Contact PI, Co-PI</t>
  </si>
  <si>
    <t xml:space="preserve">deb@virginia.edu</t>
  </si>
  <si>
    <t xml:space="preserve">UVA School of Data Science / Systems Engineering</t>
  </si>
  <si>
    <t xml:space="preserve">UVA School of Data Science profile lists him as Senior Associate Dean for Research / professor.</t>
  </si>
  <si>
    <t xml:space="preserve">https://datascience.virginia.edu/people/donald-brown</t>
  </si>
  <si>
    <t xml:space="preserve">Michael</t>
  </si>
  <si>
    <t xml:space="preserve">Two searches found no UVA Michael Brown matching an NIH Multi-PI; common name, unresolved.</t>
  </si>
  <si>
    <t xml:space="preserve">Sue</t>
  </si>
  <si>
    <t xml:space="preserve">UVA Endocrinology / Center for Diabetes Technology</t>
  </si>
  <si>
    <t xml:space="preserve">UVA faculty pages list Sue A. Brown, MD as professor of medicine and medical director of Center for Diabetes Technology.</t>
  </si>
  <si>
    <t xml:space="preserve">https://med.virginia.edu/diabetes-technology/faculty/sue-brown-md/</t>
  </si>
  <si>
    <t xml:space="preserve">Burns</t>
  </si>
  <si>
    <t xml:space="preserve">Kory</t>
  </si>
  <si>
    <t xml:space="preserve">koryburns@virginia.edu</t>
  </si>
  <si>
    <t xml:space="preserve">UVA Dept of Materials Science and Engineering</t>
  </si>
  <si>
    <t xml:space="preserve">UVA Engineering lists him as assistant professor of MSE since summer 2024; Burns Research Group active.</t>
  </si>
  <si>
    <t xml:space="preserve">https://engineering.virginia.edu/labs-groups/burns-research-group/blogs/successful-proposal-defenses</t>
  </si>
  <si>
    <t xml:space="preserve">Bushweller</t>
  </si>
  <si>
    <t xml:space="preserve">John</t>
  </si>
  <si>
    <t xml:space="preserve">UVA School of Medicine, Molecular Physiology/Chemistry</t>
  </si>
  <si>
    <t xml:space="preserve">Current med.virginia.edu faculty listing and UVA Chemistry profile; 2023 leukemia grant news.</t>
  </si>
  <si>
    <t xml:space="preserve">https://med.virginia.edu/faculty/faculty-listing/jhb4v/</t>
  </si>
  <si>
    <t xml:space="preserve">Cafiso</t>
  </si>
  <si>
    <t xml:space="preserve">David</t>
  </si>
  <si>
    <t xml:space="preserve">UVA Dept of Chemistry</t>
  </si>
  <si>
    <t xml:space="preserve">UVA Chemistry pages and a Sept 2025 seminar listing show him as active professor.</t>
  </si>
  <si>
    <t xml:space="preserve">https://chemistry.as.virginia.edu/print/9691</t>
  </si>
  <si>
    <t xml:space="preserve">Cai</t>
  </si>
  <si>
    <t xml:space="preserve">Chuanxi</t>
  </si>
  <si>
    <t xml:space="preserve">Unknown</t>
  </si>
  <si>
    <t xml:space="preserve">No search results linking Chuanxi Cai to UVA.</t>
  </si>
  <si>
    <t xml:space="preserve">Liheng</t>
  </si>
  <si>
    <t xml:space="preserve">liheng.cai@virginia.edu</t>
  </si>
  <si>
    <t xml:space="preserve">UVA Depts of Materials Science &amp; Engineering and Chemical Engineering</t>
  </si>
  <si>
    <t xml:space="preserve">UVA News/2024 reports show him as UVA Engineering faculty with NIH MIRA.</t>
  </si>
  <si>
    <t xml:space="preserve">https://bioengineer.org/uva-engineering-professor-lands-1-9-million-nih-award-to-maximize-biomedical-research/</t>
  </si>
  <si>
    <t xml:space="preserve">Caliari</t>
  </si>
  <si>
    <t xml:space="preserve">Steven</t>
  </si>
  <si>
    <t xml:space="preserve">Likely UVA Engineering</t>
  </si>
  <si>
    <t xml:space="preserve">Only a Feb 2023 UVA Today article (Research Excellence Award); no 2025-2026 evidence found.</t>
  </si>
  <si>
    <t xml:space="preserve">https://news.virginia.edu/node/357641</t>
  </si>
  <si>
    <t xml:space="preserve">Campbell</t>
  </si>
  <si>
    <t xml:space="preserve">Adrienne</t>
  </si>
  <si>
    <t xml:space="preserve">Unknown (may be Multi-PI elsewhere)</t>
  </si>
  <si>
    <t xml:space="preserve">No search results linking Adrienne Campbell to UVA.</t>
  </si>
  <si>
    <t xml:space="preserve">Bradford</t>
  </si>
  <si>
    <t xml:space="preserve">bjc8c@virginia.edu</t>
  </si>
  <si>
    <t xml:space="preserve">UVA Computer Science / ECE (Link Lab)</t>
  </si>
  <si>
    <t xml:space="preserve">Listed on UVA Engineering faculty pages (including a 2026 page) in CS, ECE and Link Lab.</t>
  </si>
  <si>
    <t xml:space="preserve">https://engineering.virginia.edu/faculty?page=5</t>
  </si>
  <si>
    <t xml:space="preserve">Joe</t>
  </si>
  <si>
    <t xml:space="preserve">jcc7s@virginia.edu</t>
  </si>
  <si>
    <t xml:space="preserve">UVA Engineering faculty profile (Lucien Carr III Professor); co-author on 2026 paper with UVA colleagues.</t>
  </si>
  <si>
    <t xml:space="preserve">https://engineering.virginia.edu/faculty/joe-charles-campbell</t>
  </si>
  <si>
    <t xml:space="preserve">Search found no John Campbell at UVA (common name; other John Campbells at UMaryland etc.).</t>
  </si>
  <si>
    <t xml:space="preserve">Canderan</t>
  </si>
  <si>
    <t xml:space="preserve">Glenda</t>
  </si>
  <si>
    <t xml:space="preserve">No web results for Glenda Canderan at UVA.</t>
  </si>
  <si>
    <t xml:space="preserve">Cang</t>
  </si>
  <si>
    <t xml:space="preserve">Jianhua</t>
  </si>
  <si>
    <t xml:space="preserve">University of Virginia, Biology/Psychology</t>
  </si>
  <si>
    <t xml:space="preserve">Current UVA Biology faculty profile and Cang lab site; Jefferson Scholars Foundation chaired professor.</t>
  </si>
  <si>
    <t xml:space="preserve">https://bio.as.virginia.edu/people/jianhua-jc-cang</t>
  </si>
  <si>
    <t xml:space="preserve">Carlson</t>
  </si>
  <si>
    <t xml:space="preserve">Andrew</t>
  </si>
  <si>
    <t xml:space="preserve">No UVA Andrew Carlson found; results were people at other institutions.</t>
  </si>
  <si>
    <t xml:space="preserve">Casanova</t>
  </si>
  <si>
    <t xml:space="preserve">No web results for James Casanova at UVA.</t>
  </si>
  <si>
    <t xml:space="preserve">Castorani</t>
  </si>
  <si>
    <t xml:space="preserve">Max</t>
  </si>
  <si>
    <t xml:space="preserve">castorani@virginia.edu</t>
  </si>
  <si>
    <t xml:space="preserve">University of Virginia, Environmental Sciences</t>
  </si>
  <si>
    <t xml:space="preserve">UVA EVSC profile and Castorani lab site with 2026 lab activity; virginia.edu email on grant.</t>
  </si>
  <si>
    <t xml:space="preserve">https://evsc.as.virginia.edu/castorani</t>
  </si>
  <si>
    <t xml:space="preserve">Chabalengula</t>
  </si>
  <si>
    <t xml:space="preserve">Vivien</t>
  </si>
  <si>
    <t xml:space="preserve">mweene@virginia.edu</t>
  </si>
  <si>
    <t xml:space="preserve">University of Virginia (per grant email)</t>
  </si>
  <si>
    <t xml:space="preserve">Only the virginia.edu email on the NSF grant; search found no profile.</t>
  </si>
  <si>
    <t xml:space="preserve">Chalfant</t>
  </si>
  <si>
    <t xml:space="preserve">Charles</t>
  </si>
  <si>
    <t xml:space="preserve">UVA School of Medicine, Hematology &amp; Oncology</t>
  </si>
  <si>
    <t xml:space="preserve">Current med.virginia.edu faculty profile, Professor of Medicine (formerly at VCU).</t>
  </si>
  <si>
    <t xml:space="preserve">https://med.virginia.edu/hematology-oncology/charles-e-chalfant-phd</t>
  </si>
  <si>
    <t xml:space="preserve">Chamberlain</t>
  </si>
  <si>
    <t xml:space="preserve">No James Chamberlain at UVA found; Multi-PI may be at another institution.</t>
  </si>
  <si>
    <t xml:space="preserve">Chandler</t>
  </si>
  <si>
    <t xml:space="preserve">Heather</t>
  </si>
  <si>
    <t xml:space="preserve">No Heather Chandler at UVA found (an unrelated one is at U Wyoming); Multi-PI may be elsewhere.</t>
  </si>
  <si>
    <t xml:space="preserve">Chang</t>
  </si>
  <si>
    <t xml:space="preserve">Qing</t>
  </si>
  <si>
    <t xml:space="preserve">qc9nq@virginia.edu</t>
  </si>
  <si>
    <t xml:space="preserve">Charlton</t>
  </si>
  <si>
    <t xml:space="preserve">Jennifer</t>
  </si>
  <si>
    <t xml:space="preserve">UVA Health, Pediatric Nephrology</t>
  </si>
  <si>
    <t xml:space="preserve">Current UVA Health children's provider profile; associate professor of pediatric nephrology.</t>
  </si>
  <si>
    <t xml:space="preserve">https://childrens.uvahealth.com/providers/Jennifer-Charlton-1558485524</t>
  </si>
  <si>
    <t xml:space="preserve">Chen</t>
  </si>
  <si>
    <t xml:space="preserve">zrh6du@virginia.edu</t>
  </si>
  <si>
    <t xml:space="preserve">Common name; only a DBLP entry with a UVA affiliation plus the virginia.edu grant email.</t>
  </si>
  <si>
    <t xml:space="preserve">https://dblp1.uni-trier.de/pid/65/4423-21.html</t>
  </si>
  <si>
    <t xml:space="preserve">Cheng</t>
  </si>
  <si>
    <t xml:space="preserve">Lily</t>
  </si>
  <si>
    <t xml:space="preserve">University of Virginia (per NIH aggregator)</t>
  </si>
  <si>
    <t xml:space="preserve">Only an NIH-funding aggregator lists Lily S. Cheng at UVA with an FY2024 K08; no UVA profile found.</t>
  </si>
  <si>
    <t xml:space="preserve">https://conductscience.com/sciencedex/investigators/lily-s-cheng</t>
  </si>
  <si>
    <t xml:space="preserve">Yue</t>
  </si>
  <si>
    <t xml:space="preserve">mrz7dp@virginia.edu</t>
  </si>
  <si>
    <t xml:space="preserve">University of Virginia, Data Science and Computer Science</t>
  </si>
  <si>
    <t xml:space="preserve">UVA engineering faculty listing and UVA-hosted CV show him as assistant professor since 2022 (formerly at GMU).</t>
  </si>
  <si>
    <t xml:space="preserve">https://api.dsi.virginia.edu/sites/default/files/2022-08/YueCheng_CV.pdf</t>
  </si>
  <si>
    <t xml:space="preserve">Cheon</t>
  </si>
  <si>
    <t xml:space="preserve">In Su</t>
  </si>
  <si>
    <t xml:space="preserve">No web results for In Su Cheon at UVA; Multi-PI may be elsewhere.</t>
  </si>
  <si>
    <t xml:space="preserve">Chisholm</t>
  </si>
  <si>
    <t xml:space="preserve">Christian</t>
  </si>
  <si>
    <t xml:space="preserve">UVA Health, Obstetrics and Gynecology</t>
  </si>
  <si>
    <t xml:space="preserve">Current uvahealth.com provider profile; John M. Nokes Professor of OB/GYN at UVA.</t>
  </si>
  <si>
    <t xml:space="preserve">https://uvahealth.com/providers/christian-chisholm-1013086636</t>
  </si>
  <si>
    <t xml:space="preserve">Chiu</t>
  </si>
  <si>
    <t xml:space="preserve">jlchiu@virginia.edu</t>
  </si>
  <si>
    <t xml:space="preserve">University of Virginia, School of Education and Human Development</t>
  </si>
  <si>
    <t xml:space="preserve">ASCD and Berkeley WISE pages place her at UVA, but undated and not a UVA profile; virginia.edu email on grant.</t>
  </si>
  <si>
    <t xml:space="preserve">https://ascd.org/people/jennifer-chiu</t>
  </si>
  <si>
    <t xml:space="preserve">Cho</t>
  </si>
  <si>
    <t xml:space="preserve">No Michael Cho at UVA found (others at Iowa State, Duke); Multi-PI may be elsewhere.</t>
  </si>
  <si>
    <t xml:space="preserve">Chong</t>
  </si>
  <si>
    <t xml:space="preserve">Zechen</t>
  </si>
  <si>
    <t xml:space="preserve">No web results for Zechen Chong at UVA.</t>
  </si>
  <si>
    <t xml:space="preserve">Chow</t>
  </si>
  <si>
    <t xml:space="preserve">UVA School of Medicine, Psychiatry and Neurobehavioral Sciences</t>
  </si>
  <si>
    <t xml:space="preserve">Current med.virginia.edu faculty listing; associate professor, Center for Behavioral Health &amp; Technology.</t>
  </si>
  <si>
    <t xml:space="preserve">https://med.virginia.edu/faculty/faculty-listing/pic2u/</t>
  </si>
  <si>
    <t xml:space="preserve">Civelek</t>
  </si>
  <si>
    <t xml:space="preserve">Mete</t>
  </si>
  <si>
    <t xml:space="preserve">UVA School of Medicine, Biomedical Engineering / Cardiovascular Research Center</t>
  </si>
  <si>
    <t xml:space="preserve">Civelek Lab at UVA CVRC; appears in a January 2025 UVA news item on research.</t>
  </si>
  <si>
    <t xml:space="preserve">https://www.cvrc.virginia.edu/tag/civelek</t>
  </si>
  <si>
    <t xml:space="preserve">Clarens</t>
  </si>
  <si>
    <t xml:space="preserve">Andres</t>
  </si>
  <si>
    <t xml:space="preserve">afc7r@virginia.edu</t>
  </si>
  <si>
    <t xml:space="preserve">UVA Engineering</t>
  </si>
  <si>
    <t xml:space="preserve">Clarens Lab page is live on engineering.virginia.edu; no sign he has left.</t>
  </si>
  <si>
    <t xml:space="preserve">https://engineering.virginia.edu/labs-groups/clarens-lab/news</t>
  </si>
  <si>
    <t xml:space="preserve">Clark</t>
  </si>
  <si>
    <t xml:space="preserve">Search found no Timothy Clark at UVA; common name, and NIH Multi-PI could be at another institution.</t>
  </si>
  <si>
    <t xml:space="preserve">Cleeves</t>
  </si>
  <si>
    <t xml:space="preserve">Lauren</t>
  </si>
  <si>
    <t xml:space="preserve">lic3f@virginia.edu</t>
  </si>
  <si>
    <t xml:space="preserve">UVA Astronomy/Chemistry</t>
  </si>
  <si>
    <t xml:space="preserve">L. Ilsedore (Ilse) Cleeves is UVA Astronomy faculty per department pages; awards dated 2022.</t>
  </si>
  <si>
    <t xml:space="preserve">https://astronomy.as.virginia.edu/news/two-astronomy-faculty-win-research-achievement-awards</t>
  </si>
  <si>
    <t xml:space="preserve">Cliffe</t>
  </si>
  <si>
    <t xml:space="preserve">Anna</t>
  </si>
  <si>
    <t xml:space="preserve">UVA SOM, Microbiology, Immunology &amp; Cancer Biology</t>
  </si>
  <si>
    <t xml:space="preserve">Cliffe Lab site exists on med.virginia.edu (MIC); the snippet did not show her name.</t>
  </si>
  <si>
    <t xml:space="preserve">https://med.virginia.edu/cliffe/?p=108</t>
  </si>
  <si>
    <t xml:space="preserve">Cohen</t>
  </si>
  <si>
    <t xml:space="preserve">Julie</t>
  </si>
  <si>
    <t xml:space="preserve">jjc7f@virginia.edu</t>
  </si>
  <si>
    <t xml:space="preserve">UVA Education hosts her CV; associate professor and Charles S. Robb Professor since 2022.</t>
  </si>
  <si>
    <t xml:space="preserve">https://education.virginia.edu/documents/cohen-juliecv2022-12pdf</t>
  </si>
  <si>
    <t xml:space="preserve">Cole</t>
  </si>
  <si>
    <t xml:space="preserve">Veronica</t>
  </si>
  <si>
    <t xml:space="preserve">colev@wfu.edu</t>
  </si>
  <si>
    <t xml:space="preserve">wfu.edu</t>
  </si>
  <si>
    <t xml:space="preserve">Colmer</t>
  </si>
  <si>
    <t xml:space="preserve">Jonathan</t>
  </si>
  <si>
    <t xml:space="preserve">jonathan.colmer@virginia.edu</t>
  </si>
  <si>
    <t xml:space="preserve">UVA Economics / Batten School</t>
  </si>
  <si>
    <t xml:space="preserve">Batten School profile lists him as associate professor and director of the Environmental Inequality Lab.</t>
  </si>
  <si>
    <t xml:space="preserve">https://batten.virginia.edu/people/jonathan-colmer</t>
  </si>
  <si>
    <t xml:space="preserve">Colson</t>
  </si>
  <si>
    <t xml:space="preserve">Eve</t>
  </si>
  <si>
    <t xml:space="preserve">unknown (likely another institution)</t>
  </si>
  <si>
    <t xml:space="preserve">No UVA link found for Eve Colson; the NIH Multi-PI is probably a co-lead elsewhere.</t>
  </si>
  <si>
    <t xml:space="preserve">Colston</t>
  </si>
  <si>
    <t xml:space="preserve">Josh</t>
  </si>
  <si>
    <t xml:space="preserve">UVA School of Medicine</t>
  </si>
  <si>
    <t xml:space="preserve">UVA SOM news 'Research in Motion' profile of Josh Colston, PhD, dated Nov 2025.</t>
  </si>
  <si>
    <t xml:space="preserve">https://news.med.virginia.edu/?p=51492</t>
  </si>
  <si>
    <t xml:space="preserve">Columbus</t>
  </si>
  <si>
    <t xml:space="preserve">Linda</t>
  </si>
  <si>
    <t xml:space="preserve">UVA Chemistry</t>
  </si>
  <si>
    <t xml:space="preserve">UVA Chemistry lists her as Commonwealth Professor and chair.</t>
  </si>
  <si>
    <t xml:space="preserve">https://chemistry.as.virginia.edu/prof-linda-columbus-named-commonwealth-professor-chemistry</t>
  </si>
  <si>
    <t xml:space="preserve">Conaway</t>
  </si>
  <si>
    <t xml:space="preserve">UVA SOM, Public Health Sciences</t>
  </si>
  <si>
    <t xml:space="preserve">UVA faculty profile lists him as professor in Public Health Sciences; his FDA CV is dated Mar 2025.</t>
  </si>
  <si>
    <t xml:space="preserve">https://med.virginia.edu/faculty/faculty-listing/mrc6j/</t>
  </si>
  <si>
    <t xml:space="preserve">Connelly</t>
  </si>
  <si>
    <t xml:space="preserve">Jessica</t>
  </si>
  <si>
    <t xml:space="preserve">UVA Psychology (likely)</t>
  </si>
  <si>
    <t xml:space="preserve">Only Wikipedia and an IMPRS faculty list tie her to UVA Psychology; no dated virginia.edu source found.</t>
  </si>
  <si>
    <t xml:space="preserve">https://en.wikipedia.org/wiki/Jessica_J._Connelly</t>
  </si>
  <si>
    <t xml:space="preserve">Cook</t>
  </si>
  <si>
    <t xml:space="preserve">Bryan</t>
  </si>
  <si>
    <t xml:space="preserve">bc3qu@virginia.edu</t>
  </si>
  <si>
    <t xml:space="preserve">UVA Education faculty profile and a May 2024 CV list him as professor.</t>
  </si>
  <si>
    <t xml:space="preserve">https://education.virginia.edu/bryan-cook</t>
  </si>
  <si>
    <t xml:space="preserve">Cope</t>
  </si>
  <si>
    <t xml:space="preserve">Elise</t>
  </si>
  <si>
    <t xml:space="preserve">UVA SOM, Neuroscience</t>
  </si>
  <si>
    <t xml:space="preserve">UVA SOM faculty listing shows her as assistant professor running the Cope Lab, with an active R01.</t>
  </si>
  <si>
    <t xml:space="preserve">https://med.virginia.edu/faculty/faculty-listing/zxg4ym/</t>
  </si>
  <si>
    <t xml:space="preserve">Cowardin</t>
  </si>
  <si>
    <t xml:space="preserve">Carrie</t>
  </si>
  <si>
    <t xml:space="preserve">2024 UVA Health news covers Carrie Cowardin, PhD's undernutrition research; no 2025-26 source found.</t>
  </si>
  <si>
    <t xml:space="preserve">https://news.med.virginia.edu/research/carrie-cowardin-phd-and-colleagues-develop-new-tool-to-better-understand-devastating-effects-of-childhood-undernutrition/</t>
  </si>
  <si>
    <t xml:space="preserve">Cox</t>
  </si>
  <si>
    <t xml:space="preserve">UVA Dept of Psychiatry and Neurobehavioral Sciences (as of 2023)</t>
  </si>
  <si>
    <t xml:space="preserve">Daniel J. Cox, PhD, UVA psychiatry professor with NIH diabetes R01 in 2023 news; no 2025-2026 evidence found.</t>
  </si>
  <si>
    <t xml:space="preserve">https://news.med.virginia.edu/newsletter/8-24-23-issue/</t>
  </si>
  <si>
    <t xml:space="preserve">rmc3u@virginia.edu</t>
  </si>
  <si>
    <t xml:space="preserve">UVA Dept of Biology</t>
  </si>
  <si>
    <t xml:space="preserve">UVA Biology/Expand faculty profile for Robert Cox (reptile evolutionary ecology).</t>
  </si>
  <si>
    <t xml:space="preserve">https://expand.virginia.edu/people/robert-cox</t>
  </si>
  <si>
    <t xml:space="preserve">Crescenzi</t>
  </si>
  <si>
    <t xml:space="preserve">Rachelle</t>
  </si>
  <si>
    <t xml:space="preserve">UVA Dept of Radiology and Medical Imaging</t>
  </si>
  <si>
    <t xml:space="preserve">UVA news May 2026: associate professor of radiology secures $6.5M NHLBI R35.</t>
  </si>
  <si>
    <t xml:space="preserve">https://med.virginia.edu/radiology/2026/05/07/rachelle-crescenzi-phd-secures-6-5-million-for-mri-research-to-address-chronic-lymphatic-diseases/</t>
  </si>
  <si>
    <t xml:space="preserve">Crisman</t>
  </si>
  <si>
    <t xml:space="preserve">Phoebe</t>
  </si>
  <si>
    <t xml:space="preserve">pc4v@virginia.edu</t>
  </si>
  <si>
    <t xml:space="preserve">UVA School of Architecture</t>
  </si>
  <si>
    <t xml:space="preserve">Current arch.virginia.edu profile; Global Studies director 2019-2025, IRC principal.</t>
  </si>
  <si>
    <t xml:space="preserve">https://www.arch.virginia.edu/people/phoebe-crisman</t>
  </si>
  <si>
    <t xml:space="preserve">Criss</t>
  </si>
  <si>
    <t xml:space="preserve">Alison</t>
  </si>
  <si>
    <t xml:space="preserve">UVA Dept of Microbiology, Immunology, and Cancer Biology (as of 2017)</t>
  </si>
  <si>
    <t xml:space="preserve">Only 2017-era evidence of UVA microbiology faculty / GIDI director role found.</t>
  </si>
  <si>
    <t xml:space="preserve">https://wiareport.com/2017/06/eight-women-scholars-taking-new-roles-colleges-universities/</t>
  </si>
  <si>
    <t xml:space="preserve">Crump</t>
  </si>
  <si>
    <t xml:space="preserve">Colin</t>
  </si>
  <si>
    <t xml:space="preserve">University of Cambridge, Dept of Pathology</t>
  </si>
  <si>
    <t xml:space="preserve">Colin Crump is Professor of Molecular Virology at Cambridge; no UVA link (external Multi-PI).</t>
  </si>
  <si>
    <t xml:space="preserve">https://www.path.cam.ac.uk/people/colin-crump</t>
  </si>
  <si>
    <t xml:space="preserve">Cui</t>
  </si>
  <si>
    <t xml:space="preserve">Jiaming</t>
  </si>
  <si>
    <t xml:space="preserve">Virginia Tech, Dept of Computer Science</t>
  </si>
  <si>
    <t xml:space="preserve">Jiaming Cui is an assistant professor at Virginia Tech; no UVA link (external Multi-PI).</t>
  </si>
  <si>
    <t xml:space="preserve">https://website.cs.vt.edu/people/faculty/jiaming-cui.html</t>
  </si>
  <si>
    <t xml:space="preserve">Yiyun</t>
  </si>
  <si>
    <t xml:space="preserve">ycui10@umd.edu</t>
  </si>
  <si>
    <t xml:space="preserve">umd.edu</t>
  </si>
  <si>
    <t xml:space="preserve">Culp</t>
  </si>
  <si>
    <t xml:space="preserve">UVA Dept of Urology (as of 2024)</t>
  </si>
  <si>
    <t xml:space="preserve">UVA Health urologist and Medical Faculty Senate chair per 2024 coverage; no 2025-2026 confirmation.</t>
  </si>
  <si>
    <t xml:space="preserve">https://parrhesiastes.substack.com/p/a-great-heart-why-dr-stephen-culp-is-fighting-for-uva-health</t>
  </si>
  <si>
    <t xml:space="preserve">Culver</t>
  </si>
  <si>
    <t xml:space="preserve">Silas</t>
  </si>
  <si>
    <t xml:space="preserve">UVA Health, Endocrinology</t>
  </si>
  <si>
    <t xml:space="preserve">Undated UVA Medicine Matters faculty profile of an endocrinologist (fellowship done 2017); no recent source.</t>
  </si>
  <si>
    <t xml:space="preserve">https://news.med.virginia.edu/medicinematters/?p=19989</t>
  </si>
  <si>
    <t xml:space="preserve">Daniero</t>
  </si>
  <si>
    <t xml:space="preserve">UVA Health, Otolaryngology-HNS</t>
  </si>
  <si>
    <t xml:space="preserve">Current UVA Health provider page and UVA Otolaryngology faculty page.</t>
  </si>
  <si>
    <t xml:space="preserve">https://uvahealth.com/provider/james-daniero-1386817484</t>
  </si>
  <si>
    <t xml:space="preserve">Davidson</t>
  </si>
  <si>
    <t xml:space="preserve">Jack</t>
  </si>
  <si>
    <t xml:space="preserve">jwd@virginia.edu</t>
  </si>
  <si>
    <t xml:space="preserve">UVA Dept of Computer Science</t>
  </si>
  <si>
    <t xml:space="preserve">Current engineering.virginia.edu faculty profile, Professor of Computer Science.</t>
  </si>
  <si>
    <t xml:space="preserve">https://engineering.virginia.edu/faculty/jack-w-davidson</t>
  </si>
  <si>
    <t xml:space="preserve">Davis</t>
  </si>
  <si>
    <t xml:space="preserve">Common name; search found UVA COO Jennifer Wagner Davis and unrelated physicians, nothing matching an NIH researcher; follow-up not run.</t>
  </si>
  <si>
    <t xml:space="preserve">Shane</t>
  </si>
  <si>
    <t xml:space="preserve">swd8g@virginia.edu</t>
  </si>
  <si>
    <t xml:space="preserve">Two searches found no UVA page for Shane Davis; only the virginia.edu email ties him to UVA.</t>
  </si>
  <si>
    <t xml:space="preserve">De Wekker</t>
  </si>
  <si>
    <t xml:space="preserve">Stephan</t>
  </si>
  <si>
    <t xml:space="preserve">sfd3d@virginia.edu</t>
  </si>
  <si>
    <t xml:space="preserve">UVA Environmental Sciences</t>
  </si>
  <si>
    <t xml:space="preserve">Listed as PI on the UVA EVSC atmospheric page; taught EVSC courses in Spring 2025.</t>
  </si>
  <si>
    <t xml:space="preserve">https://atmos.evsc.virginia.edu/principal-investigators</t>
  </si>
  <si>
    <t xml:space="preserve">Deans</t>
  </si>
  <si>
    <t xml:space="preserve">Sarah</t>
  </si>
  <si>
    <t xml:space="preserve">scl9qp@virginia.edu</t>
  </si>
  <si>
    <t xml:space="preserve">No search result for Sarah Deans at UVA; only the virginia.edu email ties her to UVA.</t>
  </si>
  <si>
    <t xml:space="preserve">Deboer</t>
  </si>
  <si>
    <t xml:space="preserve">UVA Health, Pediatric Endocrinology</t>
  </si>
  <si>
    <t xml:space="preserve">Current UVA Health / UVA Children's provider profile.</t>
  </si>
  <si>
    <t xml:space="preserve">https://uvahealth.com/providers/Mark-DeBoer-1730100868</t>
  </si>
  <si>
    <t xml:space="preserve">Derre</t>
  </si>
  <si>
    <t xml:space="preserve">Isabelle</t>
  </si>
  <si>
    <t xml:space="preserve">UVA faculty listing shows her as associate professor; a 2026 Derré Lab postdoc posting exists.</t>
  </si>
  <si>
    <t xml:space="preserve">https://med.virginia.edu/faculty/faculty-listing/id8m/</t>
  </si>
  <si>
    <t xml:space="preserve">Desai</t>
  </si>
  <si>
    <t xml:space="preserve">Bimal</t>
  </si>
  <si>
    <t xml:space="preserve">UVA SOM, Pharmacology (likely)</t>
  </si>
  <si>
    <t xml:space="preserve">UVA Pharmacology news shows him there through 2023 (Shannon fellowship); no 2025-26 source found.</t>
  </si>
  <si>
    <t xml:space="preserve">https://med.virginia.edu/pharm/category/news/page/19/</t>
  </si>
  <si>
    <t xml:space="preserve">Devall</t>
  </si>
  <si>
    <t xml:space="preserve">UVA School of Medicine, Family Medicine</t>
  </si>
  <si>
    <t xml:space="preserve">UVA Family Medicine profile says promoted to tenure-track Assistant Professor in Aug 2025; runs Devall Lab.</t>
  </si>
  <si>
    <t xml:space="preserve">https://med.virginia.edu/family-medicine/faculty-and-nurse-practitioners/matthew-devall-phd/</t>
  </si>
  <si>
    <t xml:space="preserve">Dighe</t>
  </si>
  <si>
    <t xml:space="preserve">Abhijit</t>
  </si>
  <si>
    <t xml:space="preserve">No search result links an Abhijit Dighe to UVA; Multi-PI may be at another institution.</t>
  </si>
  <si>
    <t xml:space="preserve">Doabler</t>
  </si>
  <si>
    <t xml:space="preserve">cdoabler@austin.utexas.edu</t>
  </si>
  <si>
    <t xml:space="preserve">austin.utexas.edu</t>
  </si>
  <si>
    <t xml:space="preserve">Dokholyan</t>
  </si>
  <si>
    <t xml:space="preserve">Nikolay</t>
  </si>
  <si>
    <t xml:space="preserve">UVA School of Medicine, Neurology</t>
  </si>
  <si>
    <t xml:space="preserve">Moved from Penn State to UVA Neurology in 2025; UVA faculty listing shows him as Professor of Neurology.</t>
  </si>
  <si>
    <t xml:space="preserve">https://med.virginia.edu/faculty/faculty-listing/axp2yt/</t>
  </si>
  <si>
    <t xml:space="preserve">Dolatshahi</t>
  </si>
  <si>
    <t xml:space="preserve">Sepideh</t>
  </si>
  <si>
    <t xml:space="preserve">Sept 2025 UVA Child Health Research Center seminar lists her as UVA BME faculty.</t>
  </si>
  <si>
    <t xml:space="preserve">https://med.virginia.edu/chrc/2025/09/02/9-19-2026-sepideh-dolatshahi-phd/</t>
  </si>
  <si>
    <t xml:space="preserve">Donowitz</t>
  </si>
  <si>
    <t xml:space="preserve">Jeffrey</t>
  </si>
  <si>
    <t xml:space="preserve">UVA School of Medicine, Pediatric Infectious Diseases</t>
  </si>
  <si>
    <t xml:space="preserve">Current UVA Health provider profile and Petri lab page list him as a pediatric ID physician at UVA.</t>
  </si>
  <si>
    <t xml:space="preserve">https://www.uvahealth.com/providers/Jeffrey-Donowitz-1609196013</t>
  </si>
  <si>
    <t xml:space="preserve">Doryab</t>
  </si>
  <si>
    <t xml:space="preserve">Afsaneh</t>
  </si>
  <si>
    <t xml:space="preserve">ad4ks@virginia.edu</t>
  </si>
  <si>
    <t xml:space="preserve">UVA Engineering, Systems &amp; Information Engineering / Computer Science</t>
  </si>
  <si>
    <t xml:space="preserve">UVA Engineering faculty and Link Lab pages list her as Assistant Professor in SIE and CS.</t>
  </si>
  <si>
    <t xml:space="preserve">Downer</t>
  </si>
  <si>
    <t xml:space="preserve">jd2fe@Virginia.edu</t>
  </si>
  <si>
    <t xml:space="preserve">UVA School of Education and Human Development (likely)</t>
  </si>
  <si>
    <t xml:space="preserve">Only 2024 payroll data and older UVA news show him at UVA; no 2025-2026 evidence found.</t>
  </si>
  <si>
    <t xml:space="preserve">https://openpayrolls.com/jason-downer-155138944</t>
  </si>
  <si>
    <t xml:space="preserve">Drew</t>
  </si>
  <si>
    <t xml:space="preserve">Patrick</t>
  </si>
  <si>
    <t xml:space="preserve">Penn State University</t>
  </si>
  <si>
    <t xml:space="preserve">The only Patrick Drew who fits the field is a neuroscience professor at Penn State; nothing links him to UVA.</t>
  </si>
  <si>
    <t xml:space="preserve">https://sites.esm.psu.edu/people/directory/resume.php?id=pjd17</t>
  </si>
  <si>
    <t xml:space="preserve">DuBay</t>
  </si>
  <si>
    <t xml:space="preserve">Kateri</t>
  </si>
  <si>
    <t xml:space="preserve">dubay@virginia.edu</t>
  </si>
  <si>
    <t xml:space="preserve">UVA Department of Chemistry</t>
  </si>
  <si>
    <t xml:space="preserve">Current UVA chemistry, gen-ed and lab pages list her as chemistry faculty (Associate Professor).</t>
  </si>
  <si>
    <t xml:space="preserve">https://engagements.as.virginia.edu/people/kateri-dubay</t>
  </si>
  <si>
    <t xml:space="preserve">Dudley</t>
  </si>
  <si>
    <t xml:space="preserve">UVA School of Medicine, Microbiology, Immunology &amp; Cancer Biology</t>
  </si>
  <si>
    <t xml:space="preserve">March 2026 UVA CVRC event lists him as Harrison Distinguished Professor.</t>
  </si>
  <si>
    <t xml:space="preserve">https://www.cvrc.virginia.edu/events/2026-03-10/</t>
  </si>
  <si>
    <t xml:space="preserve">Duska</t>
  </si>
  <si>
    <t xml:space="preserve">UVA School of Medicine, Gynecologic Oncology</t>
  </si>
  <si>
    <t xml:space="preserve">Recent coverage lists her as Professor and Associate Dean for Clinical Research at UVA SOM.</t>
  </si>
  <si>
    <t xml:space="preserve">https://cvillerightnow.com/?p=22661</t>
  </si>
  <si>
    <t xml:space="preserve">Dwyer</t>
  </si>
  <si>
    <t xml:space="preserve">md3cn@virginia.edu</t>
  </si>
  <si>
    <t xml:space="preserve">UVA Engineering, Computer Science</t>
  </si>
  <si>
    <t xml:space="preserve">Current UVA Engineering profile lists him as Robert Thomson Distinguished Professor of CS; 2025 conference profiles also give UVA.</t>
  </si>
  <si>
    <t xml:space="preserve">https://engineering.virginia.edu/faculty/matthew-b-dwyer</t>
  </si>
  <si>
    <t xml:space="preserve">Noelle</t>
  </si>
  <si>
    <t xml:space="preserve">UVA School of Medicine, Cell Biology</t>
  </si>
  <si>
    <t xml:space="preserve">UVA neuroscience profile, plus a Dec 2025 lab postdoc posting, list her as Associate Professor of Cell Biology at UVA.</t>
  </si>
  <si>
    <t xml:space="preserve">https://neuroscience.virginia.edu/node/866</t>
  </si>
  <si>
    <t xml:space="preserve">Ebrahim</t>
  </si>
  <si>
    <t xml:space="preserve">Seham</t>
  </si>
  <si>
    <t xml:space="preserve">UVA School of Medicine, Molecular Physiology &amp; Biological Physics</t>
  </si>
  <si>
    <t xml:space="preserve">UVA Ebrahim lab page and a March 2026 UPenn seminar list her at UVA MPBP.</t>
  </si>
  <si>
    <t xml:space="preserve">https://med.virginia.edu/ebrahim-lab/people/</t>
  </si>
  <si>
    <t xml:space="preserve">Egelman</t>
  </si>
  <si>
    <t xml:space="preserve">Edward</t>
  </si>
  <si>
    <t xml:space="preserve">UVA School of Medicine, Biochemistry &amp; Molecular Genetics</t>
  </si>
  <si>
    <t xml:space="preserve">Harrison Distinguished Professor at UVA; gave an April 2025 lecture with UVA affiliation.</t>
  </si>
  <si>
    <t xml:space="preserve">https://en.wikipedia.org/wiki/Edward_H._Egelman</t>
  </si>
  <si>
    <t xml:space="preserve">Eizirik</t>
  </si>
  <si>
    <t xml:space="preserve">Decio</t>
  </si>
  <si>
    <t xml:space="preserve">Indiana Biosciences Research Institute (formerly ULB Brussels)</t>
  </si>
  <si>
    <t xml:space="preserve">Named a research fellow at Indiana Biosciences Research Institute; earlier directed the ULB diabetes center; no UVA connection found.</t>
  </si>
  <si>
    <t xml:space="preserve">https://www.insideindianabusiness.com/articles/ibri-announces-diabetes-research-team-decio-eizirik</t>
  </si>
  <si>
    <t xml:space="preserve">Elbaum</t>
  </si>
  <si>
    <t xml:space="preserve">Sebastian</t>
  </si>
  <si>
    <t xml:space="preserve">selbaum@virginia.edu</t>
  </si>
  <si>
    <t xml:space="preserve">Profiles list him as UVA CS professor after leaving UNL; UNL pages are archived.</t>
  </si>
  <si>
    <t xml:space="preserve">https://en.wikipedia.org/wiki/Sebastian_Elbaum</t>
  </si>
  <si>
    <t xml:space="preserve">Elias</t>
  </si>
  <si>
    <t xml:space="preserve">William</t>
  </si>
  <si>
    <t xml:space="preserve">UVA Health, Neurosurgery</t>
  </si>
  <si>
    <t xml:space="preserve">Current UVA Health provider profile and 2024 UVA Health news show W. Jeff Elias as UVA neurosurgeon.</t>
  </si>
  <si>
    <t xml:space="preserve">https://uvahealth.com/provider/Jeff-Elias-1548339161</t>
  </si>
  <si>
    <t xml:space="preserve">England</t>
  </si>
  <si>
    <t xml:space="preserve">Paul</t>
  </si>
  <si>
    <t xml:space="preserve">england.paul@gmail.com</t>
  </si>
  <si>
    <t xml:space="preserve">No result links a Paul England to UVA; grant record shows a gmail address.</t>
  </si>
  <si>
    <t xml:space="preserve">Epling</t>
  </si>
  <si>
    <t xml:space="preserve">wsepling@virginia.edu</t>
  </si>
  <si>
    <t xml:space="preserve">UVA Engineering, Chemical Engineering</t>
  </si>
  <si>
    <t xml:space="preserve">Current UVA Engineering profile lists him as professor and chair of Chemical Engineering.</t>
  </si>
  <si>
    <t xml:space="preserve">https://engineering.virginia.edu/faculty/william-epling</t>
  </si>
  <si>
    <t xml:space="preserve">Epstein</t>
  </si>
  <si>
    <t xml:space="preserve">Frederick</t>
  </si>
  <si>
    <t xml:space="preserve">UVA Engineering, Biomedical Engineering</t>
  </si>
  <si>
    <t xml:space="preserve">UVA faculty pages, plus a 2025 job posting, list him as Commonwealth Professor of BME and associate dean for research.</t>
  </si>
  <si>
    <t xml:space="preserve">https://engineering.virginia.edu/faculty/frederick-H-Epstein</t>
  </si>
  <si>
    <t xml:space="preserve">Erdbruegger</t>
  </si>
  <si>
    <t xml:space="preserve">Uta</t>
  </si>
  <si>
    <t xml:space="preserve">UVA School of Medicine, Nephrology</t>
  </si>
  <si>
    <t xml:space="preserve">Current UVA nephrology lab and UVA Health provider pages list her as nephrology faculty.</t>
  </si>
  <si>
    <t xml:space="preserve">https://med.virginia.edu/nephrology/research/uta-erdbrugger-md-lab/</t>
  </si>
  <si>
    <t xml:space="preserve">Erickson</t>
  </si>
  <si>
    <t xml:space="preserve">Loren</t>
  </si>
  <si>
    <t xml:space="preserve">UVA School of Medicine, Dept. of Microbiology</t>
  </si>
  <si>
    <t xml:space="preserve">Feb 2025 UVA SOM newsletter profiles him as Associate Professor of Microbiology; FY2026 R01 at UVA.</t>
  </si>
  <si>
    <t xml:space="preserve">https://news.med.virginia.edu/newsletter/2-6-25-issue/</t>
  </si>
  <si>
    <t xml:space="preserve">Esfarjani</t>
  </si>
  <si>
    <t xml:space="preserve">Keivan</t>
  </si>
  <si>
    <t xml:space="preserve">ke4c@virginia.edu</t>
  </si>
  <si>
    <t xml:space="preserve">Likely UVA (virginia.edu email on NSF award)</t>
  </si>
  <si>
    <t xml:space="preserve">Search found no UVA page; only the grant's virginia.edu email links him to UVA.</t>
  </si>
  <si>
    <t xml:space="preserve">Ewald</t>
  </si>
  <si>
    <t xml:space="preserve">Current UVA SOM faculty listing shows Sarah E. Ewald as associate professor studying Toxoplasma.</t>
  </si>
  <si>
    <t xml:space="preserve">https://med.virginia.edu/faculty/faculty-listing/se2s/</t>
  </si>
  <si>
    <t xml:space="preserve">Eyo</t>
  </si>
  <si>
    <t xml:space="preserve">Ukpong</t>
  </si>
  <si>
    <t xml:space="preserve">UVA School of Medicine, Dept. of Neuroscience</t>
  </si>
  <si>
    <t xml:space="preserve">Current UVA SOM faculty listing shows him as Associate Professor of Neuroscience.</t>
  </si>
  <si>
    <t xml:space="preserve">https://med.virginia.edu/faculty/faculty-listing/ube9q/</t>
  </si>
  <si>
    <t xml:space="preserve">Fabris</t>
  </si>
  <si>
    <t xml:space="preserve">Chiara</t>
  </si>
  <si>
    <t xml:space="preserve">UVA Center for Diabetes Technology leadership page lists her as Associate Professor.</t>
  </si>
  <si>
    <t xml:space="preserve">https://med.virginia.edu/diabetes-technology/leadership/staff/chiara-fabris-phd/</t>
  </si>
  <si>
    <t xml:space="preserve">Fairchild</t>
  </si>
  <si>
    <t xml:space="preserve">Karen</t>
  </si>
  <si>
    <t xml:space="preserve">UVA School of Medicine, Pediatrics/Neonatology</t>
  </si>
  <si>
    <t xml:space="preserve">UVA faculty profiles plus a Jan 2026 UVA CHRC seminar show her as Professor of Pediatrics.</t>
  </si>
  <si>
    <t xml:space="preserve">https://med.virginia.edu/pediatrics/divisions/neonatology/faculty-fellows/</t>
  </si>
  <si>
    <t xml:space="preserve">Fallahi-Sichani</t>
  </si>
  <si>
    <t xml:space="preserve">Mohammad</t>
  </si>
  <si>
    <t xml:space="preserve">2025 BMES application lists him as UVA BME Associate Professor; Shannon Mid-Career Fellow 2024-2027.</t>
  </si>
  <si>
    <t xml:space="preserve">https://www.bmes.org/hubfs/CMBE/2025%20Council%20Elections/2025_CMBE_Council_Application_Fallahi-Sichani%2c%20Mohammad%20-%20Mohammad%20Fallahi.pdf?hsLang=en</t>
  </si>
  <si>
    <t xml:space="preserve">Fang</t>
  </si>
  <si>
    <t xml:space="preserve">Deyu</t>
  </si>
  <si>
    <t xml:space="preserve">Northwestern University Feinberg School of Medicine</t>
  </si>
  <si>
    <t xml:space="preserve">Deyu Fang is Hosmer Allen Johnson Professor of Pathology at Northwestern; likely an external Multi-PI.</t>
  </si>
  <si>
    <t xml:space="preserve">https://www.feinberg.northwestern.edu/faculty-profiles/az/profile.html?xid=18408</t>
  </si>
  <si>
    <t xml:space="preserve">Farber</t>
  </si>
  <si>
    <t xml:space="preserve">UVA School of Medicine, Chair of Genome Sciences</t>
  </si>
  <si>
    <t xml:space="preserve">UVA pages list him as Moore Professor and Chair of Genome Sciences; his lab posted a job in 2026.</t>
  </si>
  <si>
    <t xml:space="preserve">https://med.virginia.edu/genome-sciences/a-message-from-the-chair/</t>
  </si>
  <si>
    <t xml:space="preserve">Farhat</t>
  </si>
  <si>
    <t xml:space="preserve">Aseel</t>
  </si>
  <si>
    <t xml:space="preserve">af7py@virginia.edu</t>
  </si>
  <si>
    <t xml:space="preserve">UVA Dept. of Mathematics</t>
  </si>
  <si>
    <t xml:space="preserve">UVA Math directory lists her as Associate Professor (af7py); she taught courses through Fall 2025.</t>
  </si>
  <si>
    <t xml:space="preserve">https://math.virginia.edu/people/af7py/</t>
  </si>
  <si>
    <t xml:space="preserve">Farnoud</t>
  </si>
  <si>
    <t xml:space="preserve">Farzad</t>
  </si>
  <si>
    <t xml:space="preserve">ffh8x@virginia.edu</t>
  </si>
  <si>
    <t xml:space="preserve">UVA Engineering, ECE/CS</t>
  </si>
  <si>
    <t xml:space="preserve">Current UVA Engineering faculty profile; DBLP lists UVA with 2024 papers.</t>
  </si>
  <si>
    <t xml:space="preserve">https://engineering.virginia.edu/faculty/farzad-farnoud</t>
  </si>
  <si>
    <t xml:space="preserve">Feng</t>
  </si>
  <si>
    <t xml:space="preserve">Lu</t>
  </si>
  <si>
    <t xml:space="preserve">lf9u@virginia.edu</t>
  </si>
  <si>
    <t xml:space="preserve">UVA Computer Science</t>
  </si>
  <si>
    <t xml:space="preserve">Her UVA CS page (cs.virginia.edu/~lufeng) lists her as Associate Professor.</t>
  </si>
  <si>
    <t xml:space="preserve">https://www.cs.virginia.edu/~lufeng/awards.html</t>
  </si>
  <si>
    <t xml:space="preserve">Ferris</t>
  </si>
  <si>
    <t xml:space="preserve">UVA Dept of Medicine, Endocrinology &amp; Metabolism</t>
  </si>
  <si>
    <t xml:space="preserve">UVA Health provider profile and UVA endocrinology page list her as associate professor.</t>
  </si>
  <si>
    <t xml:space="preserve">https://uvahealth.com/provider/Heather-Ferris-1598959348</t>
  </si>
  <si>
    <t xml:space="preserve">Finan</t>
  </si>
  <si>
    <t xml:space="preserve">UVA Dept of Anesthesiology</t>
  </si>
  <si>
    <t xml:space="preserve">UVA Anesthesiology profile (Harold Carron Professor), UVA Feb 2025 research-awards feature, 2026 payroll entry.</t>
  </si>
  <si>
    <t xml:space="preserve">https://med.virginia.edu/anesthesiology/our_people/patrick-h-finan-phd/</t>
  </si>
  <si>
    <t xml:space="preserve">Fioretto</t>
  </si>
  <si>
    <t xml:space="preserve">Ferdinando</t>
  </si>
  <si>
    <t xml:space="preserve">fioretto@virginia.edu</t>
  </si>
  <si>
    <t xml:space="preserve">Recent UVA research news says he was selected for the DOE Genesis Mission.</t>
  </si>
  <si>
    <t xml:space="preserve">https://news.research.virginia.edu/category/computer-science/</t>
  </si>
  <si>
    <t xml:space="preserve">Fisher-Wellman</t>
  </si>
  <si>
    <t xml:space="preserve">Kelsey</t>
  </si>
  <si>
    <t xml:space="preserve">Wake Forest School of Medicine (previously East Carolina University)</t>
  </si>
  <si>
    <t xml:space="preserve">Results show ECU and Wake Forest Cancer Biology profiles and no UVA affiliation.</t>
  </si>
  <si>
    <t xml:space="preserve">https://profiles.wakehealth.edu/display/person/kfisherw</t>
  </si>
  <si>
    <t xml:space="preserve">Fletcher</t>
  </si>
  <si>
    <t xml:space="preserve">Preston</t>
  </si>
  <si>
    <t xml:space="preserve">ptf8v@virginia.edu</t>
  </si>
  <si>
    <t xml:space="preserve">UVA Engineering, ECE and Computer Science</t>
  </si>
  <si>
    <t xml:space="preserve">Grant name 'Preston Fletcher' resolves to P. Thomas (Tom) Fletcher (email ptf8v), who has a UVA Engineering faculty profile.</t>
  </si>
  <si>
    <t xml:space="preserve">https://engineering.virginia.edu/faculty/tom-fletcher</t>
  </si>
  <si>
    <t xml:space="preserve">Flowers</t>
  </si>
  <si>
    <t xml:space="preserve">UVA Dept of Neuroscience (likely)</t>
  </si>
  <si>
    <t xml:space="preserve">Only evidence is an undated job posting for a postdoc in Dr. Sarah Flowers' NIH-funded Alzheimer's/glycomics lab at UVA Neuroscience. No faculty profile found.</t>
  </si>
  <si>
    <t xml:space="preserve">https://jooble.org/jdp/-4848245395632212924</t>
  </si>
  <si>
    <t xml:space="preserve">Floyd</t>
  </si>
  <si>
    <t xml:space="preserve">UVA Dept of Anesthesiology (Cardiothoracic)</t>
  </si>
  <si>
    <t xml:space="preserve">UVA Anesthesiology faculty profile; payroll shows a 2024 hire and a 2026 record.</t>
  </si>
  <si>
    <t xml:space="preserve">https://med.virginia.edu/anesthesiology/our_people/thomas-floyd-md/</t>
  </si>
  <si>
    <t xml:space="preserve">Forman</t>
  </si>
  <si>
    <t xml:space="preserve">jlf3m@virginia.edu</t>
  </si>
  <si>
    <t xml:space="preserve">UVA (Center for Applied Biomechanics, likely)</t>
  </si>
  <si>
    <t xml:space="preserve">Payroll records list him as UVA Associate Professor in 2025-2026 (hired 2012). No official profile was seen.</t>
  </si>
  <si>
    <t xml:space="preserve">https://openpayrolls.com/jason-forman-178537253</t>
  </si>
  <si>
    <t xml:space="preserve">Fox</t>
  </si>
  <si>
    <t xml:space="preserve">Geoffrey</t>
  </si>
  <si>
    <t xml:space="preserve">vxj6mb@virginia.edu</t>
  </si>
  <si>
    <t xml:space="preserve">UVA Biocomplexity Institute / Computer Science (per Wikipedia)</t>
  </si>
  <si>
    <t xml:space="preserve">Only Wikipedia says he is a UVA Biocomplexity professor. No dated official UVA profile was found.</t>
  </si>
  <si>
    <t xml:space="preserve">https://en.wikipedia.org/wiki/Geoffrey_C._Fox</t>
  </si>
  <si>
    <t xml:space="preserve">French</t>
  </si>
  <si>
    <t xml:space="preserve">Brent</t>
  </si>
  <si>
    <t xml:space="preserve">UVA Biomedical Engineering (likely)</t>
  </si>
  <si>
    <t xml:space="preserve">UVA BME profile shows him as Professor and co-I on a 2024-2028 R01, but no dated 2025-2026 evidence.</t>
  </si>
  <si>
    <t xml:space="preserve">https://engineering.virginia.edu/department/biomedical-engineering/blogs/no-1-public-blue-ridge-rankings</t>
  </si>
  <si>
    <t xml:space="preserve">Fu</t>
  </si>
  <si>
    <t xml:space="preserve">Zheng</t>
  </si>
  <si>
    <t xml:space="preserve">Unknown (a Zheng Fu was at VCU)</t>
  </si>
  <si>
    <t xml:space="preserve">Two searches found no UVA page, only an older VCU Human Genetics faculty member of that name.</t>
  </si>
  <si>
    <t xml:space="preserve">https://www.newswise.com/articles/media-article/652096</t>
  </si>
  <si>
    <t xml:space="preserve">Gadrey</t>
  </si>
  <si>
    <t xml:space="preserve">Shrirang</t>
  </si>
  <si>
    <t xml:space="preserve">Search returned no page for Shrirang Gadrey at UVA.</t>
  </si>
  <si>
    <t xml:space="preserve">Gahlmann</t>
  </si>
  <si>
    <t xml:space="preserve">UVA Dept. of Chemistry</t>
  </si>
  <si>
    <t xml:space="preserve">UVA Chemistry and SOM faculty listings show him as Associate Professor of Chemistry.</t>
  </si>
  <si>
    <t xml:space="preserve">https://chemistry.as.virginia.edu/people/andreas-gahlmann</t>
  </si>
  <si>
    <t xml:space="preserve">Gao</t>
  </si>
  <si>
    <t xml:space="preserve">Xinfeng</t>
  </si>
  <si>
    <t xml:space="preserve">dny7df@virginia.edu</t>
  </si>
  <si>
    <t xml:space="preserve">Search found no UVA page; only the grant's virginia.edu email links them to UVA.</t>
  </si>
  <si>
    <t xml:space="preserve">Garcia</t>
  </si>
  <si>
    <t xml:space="preserve">Alfredo</t>
  </si>
  <si>
    <t xml:space="preserve">ag7s@virginia.edu</t>
  </si>
  <si>
    <t xml:space="preserve">UVA Systems and Information Engineering (Chair)</t>
  </si>
  <si>
    <t xml:space="preserve">UVA Engineering news (page shows 2026 events) says he was appointed Chair of SIE; Texas A&amp;M page may be out of date.</t>
  </si>
  <si>
    <t xml:space="preserve">https://engineering.virginia.edu/department/systems-and-information-engineering/news-and-events</t>
  </si>
  <si>
    <t xml:space="preserve">Melissa</t>
  </si>
  <si>
    <t xml:space="preserve">Common name; search found no Melissa Garcia at UVA, only people at other institutions.</t>
  </si>
  <si>
    <t xml:space="preserve">Nicole</t>
  </si>
  <si>
    <t xml:space="preserve">nmgarcia@umich.edu</t>
  </si>
  <si>
    <t xml:space="preserve">umich.edu</t>
  </si>
  <si>
    <t xml:space="preserve">Garcia-Blanco</t>
  </si>
  <si>
    <t xml:space="preserve">Mariano</t>
  </si>
  <si>
    <t xml:space="preserve">UVA School of Medicine, Chair of Microbiology, Immunology &amp; Cancer Biology</t>
  </si>
  <si>
    <t xml:space="preserve">June 2026 UVA SOM news reports him elected RNA Society president while he chairs MIC at UVA.</t>
  </si>
  <si>
    <t xml:space="preserve">https://news.med.virginia.edu/newsletter/6-18-26-issue/</t>
  </si>
  <si>
    <t xml:space="preserve">Garneau</t>
  </si>
  <si>
    <t xml:space="preserve">jcg6j@hscmail.mcc.virginia.edu</t>
  </si>
  <si>
    <t xml:space="preserve">UVA Health, Otolaryngology-Head &amp; Neck Surgery</t>
  </si>
  <si>
    <t xml:space="preserve">Current UVA Health provider page and UVA Otolaryngology faculty page list him.</t>
  </si>
  <si>
    <t xml:space="preserve">https://uvahealth.com/provider/Jonathan-Garneau-1487073516</t>
  </si>
  <si>
    <t xml:space="preserve">Garrod</t>
  </si>
  <si>
    <t xml:space="preserve">Robin</t>
  </si>
  <si>
    <t xml:space="preserve">rgarrod@virginia.edu</t>
  </si>
  <si>
    <t xml:space="preserve">UVA Faculty Senate lists him as Professor of Chemistry with a term ending in 2027.</t>
  </si>
  <si>
    <t xml:space="preserve">https://facultysenate.virginia.edu/node/4786</t>
  </si>
  <si>
    <t xml:space="preserve">Gates</t>
  </si>
  <si>
    <t xml:space="preserve">Alexander</t>
  </si>
  <si>
    <t xml:space="preserve">agates@virginia.edu</t>
  </si>
  <si>
    <t xml:space="preserve">University of Virginia (Assistant Professor)</t>
  </si>
  <si>
    <t xml:space="preserve">2025 UVA payroll listing shows Assistant Professor hired 2022, consistent with virginia.edu email; no evidence of departure.</t>
  </si>
  <si>
    <t xml:space="preserve">https://openpayrolls.com/alexander-gates-178537458</t>
  </si>
  <si>
    <t xml:space="preserve">Gaultier</t>
  </si>
  <si>
    <t xml:space="preserve">Alban</t>
  </si>
  <si>
    <t xml:space="preserve">UVA Dept. of Neuroscience / Center for Brain Immunology and Glia</t>
  </si>
  <si>
    <t xml:space="preserve">Current UVA Alzheimer's/neuroscience pages list him as Associate Professor of Neuroscience.</t>
  </si>
  <si>
    <t xml:space="preserve">https://alzheimers.virginia.edu/node/801</t>
  </si>
  <si>
    <t xml:space="preserve">Gazaki</t>
  </si>
  <si>
    <t xml:space="preserve">Evangelia</t>
  </si>
  <si>
    <t xml:space="preserve">eg4va@virginia.edu</t>
  </si>
  <si>
    <t xml:space="preserve">Search found no results linking Evangelia Gazaki to UVA, though the NSF record has a virginia.edu email.</t>
  </si>
  <si>
    <t xml:space="preserve">Geise</t>
  </si>
  <si>
    <t xml:space="preserve">gmg9j@virginia.edu</t>
  </si>
  <si>
    <t xml:space="preserve">Current UVA faculty listing shows Associate Professor of Chemical Engineering and director of ChE undergraduate programs.</t>
  </si>
  <si>
    <t xml:space="preserve">https://med.virginia.edu/faculty/faculty-listing/gmg9j/</t>
  </si>
  <si>
    <t xml:space="preserve">Gelfand</t>
  </si>
  <si>
    <t xml:space="preserve">Bradley</t>
  </si>
  <si>
    <t xml:space="preserve">UVA Ophthalmology (Center for Advanced Vision Science), per 2023 evidence</t>
  </si>
  <si>
    <t xml:space="preserve">The latest dated UVA evidence is an April 2023 newsletter about a grant; no 2025-2026 source found.</t>
  </si>
  <si>
    <t xml:space="preserve">https://news.med.virginia.edu/newsletter/4-13-23-issue/</t>
  </si>
  <si>
    <t xml:space="preserve">Gerling</t>
  </si>
  <si>
    <t xml:space="preserve">Gregory</t>
  </si>
  <si>
    <t xml:space="preserve">UVA faculty listing and a 2026 seminar bio show him as Professor (Interim Chair) of Systems &amp; Information Engineering at UVA.</t>
  </si>
  <si>
    <t xml:space="preserve">https://med.virginia.edu/faculty/faculty-listing/gg7h/</t>
  </si>
  <si>
    <t xml:space="preserve">Ghosh</t>
  </si>
  <si>
    <t xml:space="preserve">Avik</t>
  </si>
  <si>
    <t xml:space="preserve">ag7rq@virginia.edu</t>
  </si>
  <si>
    <t xml:space="preserve">UVA Electrical and Computer Engineering / Physics</t>
  </si>
  <si>
    <t xml:space="preserve">UVA ECE faculty page and Faculty Senate listing (term ending 2026) show him as Professor.</t>
  </si>
  <si>
    <t xml:space="preserve">https://engineering.virginia.edu/department/electrical-and-computer-engineering/faculty?page=2</t>
  </si>
  <si>
    <t xml:space="preserve">Gibson</t>
  </si>
  <si>
    <t xml:space="preserve">Amanda</t>
  </si>
  <si>
    <t xml:space="preserve">akg5nq@virginia.edu</t>
  </si>
  <si>
    <t xml:space="preserve">UVA Department of Biology</t>
  </si>
  <si>
    <t xml:space="preserve">Current UVA Biology profile lists her as Associate Professor of Biology.</t>
  </si>
  <si>
    <t xml:space="preserve">https://bio.as.virginia.edu/people/amanda-gibson</t>
  </si>
  <si>
    <t xml:space="preserve">Jessie</t>
  </si>
  <si>
    <t xml:space="preserve">UVA School of Nursing (undated evidence)</t>
  </si>
  <si>
    <t xml:space="preserve">An undated UVA News item describes her as a UVA nurse scientist studying Huntington's disease; no 2025-2026 source found.</t>
  </si>
  <si>
    <t xml:space="preserve">https://news.virginia.edu/uva-news?page=1313</t>
  </si>
  <si>
    <t xml:space="preserve">Gilchrist</t>
  </si>
  <si>
    <t xml:space="preserve">Carol</t>
  </si>
  <si>
    <t xml:space="preserve">UVA Division of Infectious Diseases and International Health (per publications)</t>
  </si>
  <si>
    <t xml:space="preserve">Only publication affiliations (JoVE, a 2023-era JCI paper) in the Petri group link her to UVA; no current profile found.</t>
  </si>
  <si>
    <t xml:space="preserve">https://jci.org/articles/view/166814</t>
  </si>
  <si>
    <t xml:space="preserve">Gioeli</t>
  </si>
  <si>
    <t xml:space="preserve">UVA Microbiology, Immunology &amp; Cancer Biology / UVA Cancer Center</t>
  </si>
  <si>
    <t xml:space="preserve">An active Gioeli Lab site on med.virginia.edu lists his publications and lab; no evidence he left, though the pages are undated.</t>
  </si>
  <si>
    <t xml:space="preserve">https://med.virginia.edu/gioeli/research/publications/</t>
  </si>
  <si>
    <t xml:space="preserve">Gluckman</t>
  </si>
  <si>
    <t xml:space="preserve">Bruce</t>
  </si>
  <si>
    <t xml:space="preserve">Penn State University (Center for Neural Engineering)</t>
  </si>
  <si>
    <t xml:space="preserve">Penn State directory lists him as Director of the Center for Neural Engineering; he is a multi-PI co-lead from another institution.</t>
  </si>
  <si>
    <t xml:space="preserve">https://www.huck.psu.edu/directory/bruce-gluckman</t>
  </si>
  <si>
    <t xml:space="preserve">Goldfarb</t>
  </si>
  <si>
    <t xml:space="preserve">Adam</t>
  </si>
  <si>
    <t xml:space="preserve">UVA Department of Pathology / UVA Health</t>
  </si>
  <si>
    <t xml:space="preserve">UVA Pathology administration page and UVA Health provider profile list him as Professor of Pathology.</t>
  </si>
  <si>
    <t xml:space="preserve">https://www.uvahealth.com/providers/Adam-Goldfarb-1437228061</t>
  </si>
  <si>
    <t xml:space="preserve">Golino</t>
  </si>
  <si>
    <t xml:space="preserve">Hudson</t>
  </si>
  <si>
    <t xml:space="preserve">hfg9s@virginia.edu</t>
  </si>
  <si>
    <t xml:space="preserve">UVA Department of Psychology</t>
  </si>
  <si>
    <t xml:space="preserve">UVA faculty page and Faculty Senate listing (term ending 2028) show him as Associate Professor of Quantitative Methods.</t>
  </si>
  <si>
    <t xml:space="preserve">https://facultysenate.virginia.edu/node/5916</t>
  </si>
  <si>
    <t xml:space="preserve">Gomez</t>
  </si>
  <si>
    <t xml:space="preserve">Roberto</t>
  </si>
  <si>
    <t xml:space="preserve">UVA Pediatrics / Child Health Research Center (R. Ariel Gomez)</t>
  </si>
  <si>
    <t xml:space="preserve">UVA CHRC pages list R. Ariel Gomez, Harrison Distinguished Professor of Pediatrics, as CHRC Director; the grant name appears to be his first name Roberto.</t>
  </si>
  <si>
    <t xml:space="preserve">https://med.virginia.edu/chrc/key-investigators/</t>
  </si>
  <si>
    <t xml:space="preserve">Gong</t>
  </si>
  <si>
    <t xml:space="preserve">Shaoqin</t>
  </si>
  <si>
    <t xml:space="preserve">University of Wisconsin-Madison</t>
  </si>
  <si>
    <t xml:space="preserve">UW-Madison profile lists her as Vilas Distinguished Professor of Ophthalmology; she is a multi-PI co-lead from another institution.</t>
  </si>
  <si>
    <t xml:space="preserve">https://molpharm.wisc.edu/staff/gong-ms-phd-shaoqin-sarah/</t>
  </si>
  <si>
    <t xml:space="preserve">Goodall</t>
  </si>
  <si>
    <t xml:space="preserve">goodall@virginia.edu</t>
  </si>
  <si>
    <t xml:space="preserve">UVA Civil and Environmental Engineering / Link Lab</t>
  </si>
  <si>
    <t xml:space="preserve">Current UVA faculty page plus April 2026 UVA news naming him Outstanding Educator in Civil Engineering.</t>
  </si>
  <si>
    <t xml:space="preserve">https://engineering.virginia.edu/faculty/jonathan-l-goodall</t>
  </si>
  <si>
    <t xml:space="preserve">Gosain</t>
  </si>
  <si>
    <t xml:space="preserve">Ankush</t>
  </si>
  <si>
    <t xml:space="preserve">UVA Department of Surgery (Chief, Pediatric Surgery)</t>
  </si>
  <si>
    <t xml:space="preserve">UVA Surgery faculty listing shows Professor and Chief of Pediatric Surgery; named Surgeon-in-Chief of UVA Children's in Oct 2024.</t>
  </si>
  <si>
    <t xml:space="preserve">https://med.virginia.edu/surgery/overview-history/faculty-listing</t>
  </si>
  <si>
    <t xml:space="preserve">Griffin</t>
  </si>
  <si>
    <t xml:space="preserve">Contact PI, PI, Multi-PI</t>
  </si>
  <si>
    <t xml:space="preserve">drgriffin@virginia.edu</t>
  </si>
  <si>
    <t xml:space="preserve">UVA Biomedical Engineering / Chemical Engineering</t>
  </si>
  <si>
    <t xml:space="preserve">UVA BME leadership page lists him as Associate Professor and BME Graduate Program Director.</t>
  </si>
  <si>
    <t xml:space="preserve">https://engineering.virginia.edu/department/biomedical-engineering/people/leadership-and-staff</t>
  </si>
  <si>
    <t xml:space="preserve">Grise</t>
  </si>
  <si>
    <t xml:space="preserve">Kevin</t>
  </si>
  <si>
    <t xml:space="preserve">kgrise@virginia.edu</t>
  </si>
  <si>
    <t xml:space="preserve">UVA Department of Environmental Sciences</t>
  </si>
  <si>
    <t xml:space="preserve">UVA Environmental Institute expert page and faculty listing show him as Associate Professor of Environmental Sciences.</t>
  </si>
  <si>
    <t xml:space="preserve">https://environment.virginia.edu/expert/kevin-grise</t>
  </si>
  <si>
    <t xml:space="preserve">Groninger</t>
  </si>
  <si>
    <t xml:space="preserve">J.</t>
  </si>
  <si>
    <t xml:space="preserve">Georgetown University / MedStar Washington Hospital Center</t>
  </si>
  <si>
    <t xml:space="preserve">J. Hunter Groninger is Associate Professor of Medicine at Georgetown and MedStar palliative care director; he holds only a UVA faculty affiliate role.</t>
  </si>
  <si>
    <t xml:space="preserve">https://conductscience.com/sciencedex/investigators/j-hunter-groninger</t>
  </si>
  <si>
    <t xml:space="preserve">Guagliardo</t>
  </si>
  <si>
    <t xml:space="preserve">Nick</t>
  </si>
  <si>
    <t xml:space="preserve">Search found no results for Nick Guagliardo at UVA.</t>
  </si>
  <si>
    <t xml:space="preserve">Guilford</t>
  </si>
  <si>
    <t xml:space="preserve">UVA faculty listing as associate professor of BME / associate dean; ASEE papers through 2025 with UVA.</t>
  </si>
  <si>
    <t xml:space="preserve">https://med.virginia.edu/faculty/faculty-listing/whg2n/</t>
  </si>
  <si>
    <t xml:space="preserve">Guler</t>
  </si>
  <si>
    <t xml:space="preserve">Ali</t>
  </si>
  <si>
    <t xml:space="preserve">Current UVA A&amp;S profile and Guler Lab site list him as Professor of Biology at UVA.</t>
  </si>
  <si>
    <t xml:space="preserve">https://engagements.as.virginia.edu/people/ali-guler</t>
  </si>
  <si>
    <t xml:space="preserve">jlg5fw@virginia.edu</t>
  </si>
  <si>
    <t xml:space="preserve">UVA Expand (NRT) profile lists her in Biology; virginia.edu email on grant.</t>
  </si>
  <si>
    <t xml:space="preserve">https://expand.virginia.edu/people/jennifer-guler</t>
  </si>
  <si>
    <t xml:space="preserve">Gumbiner</t>
  </si>
  <si>
    <t xml:space="preserve">Barry</t>
  </si>
  <si>
    <t xml:space="preserve">UVA Department of Cell Biology (as of 2022)</t>
  </si>
  <si>
    <t xml:space="preserve">Only a Dec 2022 UVA Health news item (research professor, Cell Biology, NIH R01); no newer evidence.</t>
  </si>
  <si>
    <t xml:space="preserve">https://news.med.virginia.edu/news/page/298</t>
  </si>
  <si>
    <t xml:space="preserve">Gunnoe</t>
  </si>
  <si>
    <t xml:space="preserve">tbg7h@virginia.edu</t>
  </si>
  <si>
    <t xml:space="preserve">T. Brent Gunnoe, Commonwealth Professor of Chemistry; UVA lab site and 2025 seminar list UVA.</t>
  </si>
  <si>
    <t xml:space="preserve">https://chemistry.as.virginia.edu/people/t-brent-gunnoe</t>
  </si>
  <si>
    <t xml:space="preserve">Guo</t>
  </si>
  <si>
    <t xml:space="preserve">Lianwang</t>
  </si>
  <si>
    <t xml:space="preserve">UVA Department of Surgery</t>
  </si>
  <si>
    <t xml:space="preserve">Lian-Wang Guo lab page on med.virginia.edu (Surgery, Berne CVRC); Jan 2024 UVA grant news.</t>
  </si>
  <si>
    <t xml:space="preserve">https://med.virginia.edu/guo-lab/about/</t>
  </si>
  <si>
    <t xml:space="preserve">Gutmann</t>
  </si>
  <si>
    <t xml:space="preserve">Laurie</t>
  </si>
  <si>
    <t xml:space="preserve">Indiana University School of Medicine</t>
  </si>
  <si>
    <t xml:space="preserve">Chair of Neurology at IU since 2020; UVA was only residency/fellowship training.</t>
  </si>
  <si>
    <t xml:space="preserve">https://www.insideindianabusiness.com/articles/iu-school-of-medicine-names-neurology-chair</t>
  </si>
  <si>
    <t xml:space="preserve">Hageman</t>
  </si>
  <si>
    <t xml:space="preserve">No UVA connection found in search; likely a Multi-PI at another institution.</t>
  </si>
  <si>
    <t xml:space="preserve">Hagiwara</t>
  </si>
  <si>
    <t xml:space="preserve">Nao</t>
  </si>
  <si>
    <t xml:space="preserve">UVA Department of Public Health Sciences</t>
  </si>
  <si>
    <t xml:space="preserve">UVA PHS profile: Professor of Public Health Sciences, joined UVA Aug 2023 from VCU.</t>
  </si>
  <si>
    <t xml:space="preserve">https://med.virginia.edu/phs/2024/03/01/hagiwara-nao-ph-d/</t>
  </si>
  <si>
    <t xml:space="preserve">Haines</t>
  </si>
  <si>
    <t xml:space="preserve">Ashley</t>
  </si>
  <si>
    <t xml:space="preserve">anhaines@nsu.edu</t>
  </si>
  <si>
    <t xml:space="preserve">Halme</t>
  </si>
  <si>
    <t xml:space="preserve">Adrian</t>
  </si>
  <si>
    <t xml:space="preserve">UVA Department of Cell Biology (as of 2017)</t>
  </si>
  <si>
    <t xml:space="preserve">Only 2016-2017 UVA Cell Biology news (promotion to associate professor); no recent profile found.</t>
  </si>
  <si>
    <t xml:space="preserve">https://med.virginia.edu/cell-biology/category/news-and-highlights/page/8</t>
  </si>
  <si>
    <t xml:space="preserve">Han</t>
  </si>
  <si>
    <t xml:space="preserve">Zhe</t>
  </si>
  <si>
    <t xml:space="preserve">University of Maryland School of Medicine</t>
  </si>
  <si>
    <t xml:space="preserve">Zhe Han (Drosophila nephrocyte) is Professor of Medicine at UMSOM; no UVA appointment found.</t>
  </si>
  <si>
    <t xml:space="preserve">https://www.medschool.umaryland.edu/profiles/han-zhe/</t>
  </si>
  <si>
    <t xml:space="preserve">Harman</t>
  </si>
  <si>
    <t xml:space="preserve">Walter</t>
  </si>
  <si>
    <t xml:space="preserve">wdh5z@virginia.edu</t>
  </si>
  <si>
    <t xml:space="preserve">UVA (Professor and Dept Chair per payroll)</t>
  </si>
  <si>
    <t xml:space="preserve">Only third-party payroll data through 2024 shows him as UVA professor/chair; no 2025-26 UVA source found.</t>
  </si>
  <si>
    <t xml:space="preserve">https://openpayrolls.com/walter-harman-155134280</t>
  </si>
  <si>
    <t xml:space="preserve">Harris</t>
  </si>
  <si>
    <t xml:space="preserve">Devin</t>
  </si>
  <si>
    <t xml:space="preserve">dharris@virginia.edu</t>
  </si>
  <si>
    <t xml:space="preserve">UVA Dept of Civil and Environmental Engineering (Chair)</t>
  </si>
  <si>
    <t xml:space="preserve">UVA Engineering faculty listing and profiles show him as CEE chair at UVA.</t>
  </si>
  <si>
    <t xml:space="preserve">https://engineering.virginia.edu/faculty/h</t>
  </si>
  <si>
    <t xml:space="preserve">Tajie</t>
  </si>
  <si>
    <t xml:space="preserve">UVA School of Medicine, Dept of Neuroscience</t>
  </si>
  <si>
    <t xml:space="preserve">UVA neuroscience lab pages and Jan 2026 news show her leading the BIG center at UVA.</t>
  </si>
  <si>
    <t xml:space="preserve">https://med.virginia.edu/neuroscience/faculty/primary-faculty/tajie-h-harris-ph-d/harris-lab/</t>
  </si>
  <si>
    <t xml:space="preserve">Thurl</t>
  </si>
  <si>
    <t xml:space="preserve">UVA School of Medicine, Dept of Pharmacology</t>
  </si>
  <si>
    <t xml:space="preserve">UVA Harris Lab site lists him as associate professor of pharmacology; 2024 NIH grant at UVA.</t>
  </si>
  <si>
    <t xml:space="preserve">https://med.virginia.edu/harris/contact-info/</t>
  </si>
  <si>
    <t xml:space="preserve">Harrison</t>
  </si>
  <si>
    <t xml:space="preserve">Ian</t>
  </si>
  <si>
    <t xml:space="preserve">harrison@virginia.edu</t>
  </si>
  <si>
    <t xml:space="preserve">UVA faculty listing shows him as Professor of Chemistry (surface chemistry).</t>
  </si>
  <si>
    <t xml:space="preserve">https://med.virginia.edu/faculty/faculty-listing/ah8t/</t>
  </si>
  <si>
    <t xml:space="preserve">Hartvigsen</t>
  </si>
  <si>
    <t xml:space="preserve">hartvigsen@virginia.edu</t>
  </si>
  <si>
    <t xml:space="preserve">UVA SDS news from 2024 shows him at UVA (joined 2023); no 2025-26 source checked.</t>
  </si>
  <si>
    <t xml:space="preserve">https://datascience.virginia.edu/news/departments/566?page=3</t>
  </si>
  <si>
    <t xml:space="preserve">Hassan</t>
  </si>
  <si>
    <t xml:space="preserve">Wajih Ul</t>
  </si>
  <si>
    <t xml:space="preserve">hur7wv@virginia.edu</t>
  </si>
  <si>
    <t xml:space="preserve">Current UVA CS personal page and UVA Engineering faculty profile list him as assistant professor.</t>
  </si>
  <si>
    <t xml:space="preserve">https://www.cs.virginia.edu/~hur7wv/</t>
  </si>
  <si>
    <t xml:space="preserve">Haydar</t>
  </si>
  <si>
    <t xml:space="preserve">Dalia</t>
  </si>
  <si>
    <t xml:space="preserve">George Washington University / Children's National Hospital</t>
  </si>
  <si>
    <t xml:space="preserve">She is assistant professor of pediatrics at GWU and runs a lab at Children's National; no UVA tie.</t>
  </si>
  <si>
    <t xml:space="preserve">https://research.childrensnational.org/people/haydar-dalia</t>
  </si>
  <si>
    <t xml:space="preserve">Hayes</t>
  </si>
  <si>
    <t xml:space="preserve">Benjamin</t>
  </si>
  <si>
    <t xml:space="preserve">brh5c@virginia.edu</t>
  </si>
  <si>
    <t xml:space="preserve">UVA Dept of Mathematics</t>
  </si>
  <si>
    <t xml:space="preserve">UVA Math department profile lists him as Associate Professor.</t>
  </si>
  <si>
    <t xml:space="preserve">https://math.virginia.edu/people/brh5c/</t>
  </si>
  <si>
    <t xml:space="preserve">unknown (possibly Penn State)</t>
  </si>
  <si>
    <t xml:space="preserve">Ambiguous: a NIH database links a John Edward Hayes to UVA, but a well-known John E. Hayes is at Penn State.</t>
  </si>
  <si>
    <t xml:space="preserve">https://conductscience.com/sciencedex/investigators/john-edward-hayes</t>
  </si>
  <si>
    <t xml:space="preserve">He</t>
  </si>
  <si>
    <t xml:space="preserve">Jiang</t>
  </si>
  <si>
    <t xml:space="preserve">unknown (possibly UVA)</t>
  </si>
  <si>
    <t xml:space="preserve">Only an aggregator profile ties a Jiang He (molecular imaging) to UVA; not confirmed by a UVA source.</t>
  </si>
  <si>
    <t xml:space="preserve">https://adscientificindex.com/scientist/jiang-he/1683685/</t>
  </si>
  <si>
    <t xml:space="preserve">Hendrick</t>
  </si>
  <si>
    <t xml:space="preserve">No UVA profile or news found for Jennifer Hendrick.</t>
  </si>
  <si>
    <t xml:space="preserve">Hendrickson</t>
  </si>
  <si>
    <t xml:space="preserve">Eric</t>
  </si>
  <si>
    <t xml:space="preserve">UVA Medicine, Hematology/Oncology (as of 2023)</t>
  </si>
  <si>
    <t xml:space="preserve">2023 UVA Health news on $2.3M grant and UVA lab members page; no 2025-2026 evidence.</t>
  </si>
  <si>
    <t xml:space="preserve">https://news.med.virginia.edu/?p=20304</t>
  </si>
  <si>
    <t xml:space="preserve">Heydarian</t>
  </si>
  <si>
    <t xml:space="preserve">Arsalan</t>
  </si>
  <si>
    <t xml:space="preserve">ah6rx@virginia.edu</t>
  </si>
  <si>
    <t xml:space="preserve">Current UVA engineering faculty profile lists him as Associate Professor.</t>
  </si>
  <si>
    <t xml:space="preserve">https://engineering.virginia.edu/faculty/arsalan-heydarian</t>
  </si>
  <si>
    <t xml:space="preserve">Heymann</t>
  </si>
  <si>
    <t xml:space="preserve">UVA Pediatrics (Allergy/Pulmonary)</t>
  </si>
  <si>
    <t xml:space="preserve">UVA CHRC key-investigator page; latest items ~2019 (honorary lecture), long-tenured so may be emeritus.</t>
  </si>
  <si>
    <t xml:space="preserve">https://med.virginia.edu/chrc/key-investigators/peter-w-heymann-md/</t>
  </si>
  <si>
    <t xml:space="preserve">Heysell</t>
  </si>
  <si>
    <t xml:space="preserve">Scott</t>
  </si>
  <si>
    <t xml:space="preserve">UVA Division of Infectious Diseases</t>
  </si>
  <si>
    <t xml:space="preserve">Current UVA ID profile: Thomas H. Hunter Professor; directs Center for Global Health Equity.</t>
  </si>
  <si>
    <t xml:space="preserve">https://med.virginia.edu/infectious-diseases/heysell-lab/</t>
  </si>
  <si>
    <t xml:space="preserve">Highley</t>
  </si>
  <si>
    <t xml:space="preserve">Christopher</t>
  </si>
  <si>
    <t xml:space="preserve">Current UVA engineering faculty directory lists him as Assistant Professor, recruiting.</t>
  </si>
  <si>
    <t xml:space="preserve">Hilinski</t>
  </si>
  <si>
    <t xml:space="preserve">hilinski@virginia.edu</t>
  </si>
  <si>
    <t xml:space="preserve">UVA Chemistry pages on Hilinski Group dated through 2025; virginia.edu email.</t>
  </si>
  <si>
    <t xml:space="preserve">https://chemistry.as.virginia.edu/congratulations-hilinski-group</t>
  </si>
  <si>
    <t xml:space="preserve">Hill</t>
  </si>
  <si>
    <t xml:space="preserve">Kathleen</t>
  </si>
  <si>
    <t xml:space="preserve">kathyhill@psu.edu</t>
  </si>
  <si>
    <t xml:space="preserve">psu.edu</t>
  </si>
  <si>
    <t xml:space="preserve">Hirschi</t>
  </si>
  <si>
    <t xml:space="preserve">UVA Department of Cell Biology (as of 2024)</t>
  </si>
  <si>
    <t xml:space="preserve">2021 UVA post (Alumni Professor of Cell Biology, joined 2019) and 2024 UNC seminar listing UVA; no 2025+ evidence.</t>
  </si>
  <si>
    <t xml:space="preserve">https://med.virginia.edu/cell-biology/wp-json/wp/v2/posts/105938</t>
  </si>
  <si>
    <t xml:space="preserve">Hofkens</t>
  </si>
  <si>
    <t xml:space="preserve">Tara</t>
  </si>
  <si>
    <t xml:space="preserve">thofkens@rand.org</t>
  </si>
  <si>
    <t xml:space="preserve">rand.org</t>
  </si>
  <si>
    <t xml:space="preserve">Horton</t>
  </si>
  <si>
    <t xml:space="preserve">No UVA researcher named William Horton found in search.</t>
  </si>
  <si>
    <t xml:space="preserve">Houpt</t>
  </si>
  <si>
    <t xml:space="preserve">UVA Division of Infectious Diseases and International Health</t>
  </si>
  <si>
    <t xml:space="preserve">UVA ID 'Meet the Chief' page and Jan 2025 Medicine Matters newsletter show him as division chief.</t>
  </si>
  <si>
    <t xml:space="preserve">https://med.virginia.edu/infectious-diseases/about/meet-the-chief</t>
  </si>
  <si>
    <t xml:space="preserve">Hsu</t>
  </si>
  <si>
    <t xml:space="preserve">Fang-Chi</t>
  </si>
  <si>
    <t xml:space="preserve">Unknown (likely non-UVA)</t>
  </si>
  <si>
    <t xml:space="preserve">No UVA link found; only match a Harvard global health postdoc; likely a Multi-PI elsewhere.</t>
  </si>
  <si>
    <t xml:space="preserve">https://globalhealthresearchcore.hms.harvard.edu/?p=3169</t>
  </si>
  <si>
    <t xml:space="preserve">Hu</t>
  </si>
  <si>
    <t xml:space="preserve">Song</t>
  </si>
  <si>
    <t xml:space="preserve">Washington University in St. Louis</t>
  </si>
  <si>
    <t xml:space="preserve">Song Hu left UVA BME for WashU BME starting Jan 2020.</t>
  </si>
  <si>
    <t xml:space="preserve">https://engineering.washu.edu/news/2019/WashU-BME-announces-new-faculty-hires.html</t>
  </si>
  <si>
    <t xml:space="preserve">Krystalyn</t>
  </si>
  <si>
    <t xml:space="preserve">No search result found for Krystalyn Hudson at UVA.</t>
  </si>
  <si>
    <t xml:space="preserve">Hulleman</t>
  </si>
  <si>
    <t xml:space="preserve">UVA School of Education and Human Development / Batten School</t>
  </si>
  <si>
    <t xml:space="preserve">UVA-hosted CV dated Aug 2024 lists him as professor and Motivate Lab director; no 2025-26 source found.</t>
  </si>
  <si>
    <t xml:space="preserve">https://education.virginia.edu/documents/hulleman-chriscv20240820</t>
  </si>
  <si>
    <t xml:space="preserve">Humphries</t>
  </si>
  <si>
    <t xml:space="preserve">ph7ph@virginia.edu</t>
  </si>
  <si>
    <t xml:space="preserve">unknown (NSF lists virginia.edu email)</t>
  </si>
  <si>
    <t xml:space="preserve">No search result found for Peter Humphries at UVA; NSF record has a UVA email.</t>
  </si>
  <si>
    <t xml:space="preserve">Hurd</t>
  </si>
  <si>
    <t xml:space="preserve">Current UVA Psychology profile lists Noelle Hurd as Professor of Psychology and PHAD Lab lead.</t>
  </si>
  <si>
    <t xml:space="preserve">https://psychology.as.virginia.edu/people/noelle-hurd</t>
  </si>
  <si>
    <t xml:space="preserve">Hutchins</t>
  </si>
  <si>
    <t xml:space="preserve">Ronald</t>
  </si>
  <si>
    <t xml:space="preserve">rrh8z@virginia.edu</t>
  </si>
  <si>
    <t xml:space="preserve">No search result found for Ronald Hutchins at UVA; NSF record has a UVA email.</t>
  </si>
  <si>
    <t xml:space="preserve">Ihlefeld</t>
  </si>
  <si>
    <t xml:space="preserve">Jon</t>
  </si>
  <si>
    <t xml:space="preserve">jfi4n@virginia.edu</t>
  </si>
  <si>
    <t xml:space="preserve">likely UVA Materials Science &amp; Engineering (NSF lists virginia.edu email)</t>
  </si>
  <si>
    <t xml:space="preserve">Search returned no page for Jon Ihlefeld; only the NSF UVA email supports UVA.</t>
  </si>
  <si>
    <t xml:space="preserve">Im</t>
  </si>
  <si>
    <t xml:space="preserve">Hae Kyung</t>
  </si>
  <si>
    <t xml:space="preserve">University of Chicago</t>
  </si>
  <si>
    <t xml:space="preserve">Hae Kyung Im has a UChicago genomic data science profile and lab (hakyimlab.org); likely an external Multi-PI.</t>
  </si>
  <si>
    <t xml:space="preserve">https://ccrf.uchicago.edu/content/hae-kyung-im</t>
  </si>
  <si>
    <t xml:space="preserve">Ingersoll</t>
  </si>
  <si>
    <t xml:space="preserve">UVA Psychiatry &amp; Neurobehavioral Sciences</t>
  </si>
  <si>
    <t xml:space="preserve">UVA Health news from May 2023 lists her as professor of psychiatry; no 2025-26 source found.</t>
  </si>
  <si>
    <t xml:space="preserve">https://news.med.virginia.edu/category/faculty/page/46</t>
  </si>
  <si>
    <t xml:space="preserve">Iqbal</t>
  </si>
  <si>
    <t xml:space="preserve">Tariq</t>
  </si>
  <si>
    <t xml:space="preserve">ti3fe@virginia.edu</t>
  </si>
  <si>
    <t xml:space="preserve">No search result linked Tariq Iqbal to UVA; NSF record has a UVA email.</t>
  </si>
  <si>
    <t xml:space="preserve">Isakson</t>
  </si>
  <si>
    <t xml:space="preserve">Brant</t>
  </si>
  <si>
    <t xml:space="preserve">UVA SOM news from 2023-2024 shows him as professor (2024 Berne lectureship); no 2025-26 source found.</t>
  </si>
  <si>
    <t xml:space="preserve">https://news.med.virginia.edu/?p=39890</t>
  </si>
  <si>
    <t xml:space="preserve">Allison</t>
  </si>
  <si>
    <t xml:space="preserve">George Mason University</t>
  </si>
  <si>
    <t xml:space="preserve">Allison Jack is a GMU psychology faculty member; her only UVA tie is her PhD.</t>
  </si>
  <si>
    <t xml:space="preserve">https://psychology.gmu.edu/people/ajack</t>
  </si>
  <si>
    <t xml:space="preserve">Jackson</t>
  </si>
  <si>
    <t xml:space="preserve">UVA School of Medicine / UVA Health, Infectious Diseases</t>
  </si>
  <si>
    <t xml:space="preserve">Current UVA SOM faculty listing and UVA Health provider profile list Patrick E. Jackson, MD.</t>
  </si>
  <si>
    <t xml:space="preserve">https://med.virginia.edu/faculty/faculty-listing/pej9j/</t>
  </si>
  <si>
    <t xml:space="preserve">Jacob</t>
  </si>
  <si>
    <t xml:space="preserve">Mathews</t>
  </si>
  <si>
    <t xml:space="preserve">UVA (moved from University of Iowa 2024)</t>
  </si>
  <si>
    <t xml:space="preserve">Iowa CBIG page says Mathews Jacob moved to UVA in 2024; no UVA profile surfaced.</t>
  </si>
  <si>
    <t xml:space="preserve">https://cbig.iibi.uiowa.edu/node/46</t>
  </si>
  <si>
    <t xml:space="preserve">hdj4nd@virginia.edu</t>
  </si>
  <si>
    <t xml:space="preserve">No search result found for Daniel James at UVA; NSF record has a UVA email.</t>
  </si>
  <si>
    <t xml:space="preserve">Janes</t>
  </si>
  <si>
    <t xml:space="preserve">Only an old (~2014) UVA News item shows Kevin Janes as UVA BME professor.</t>
  </si>
  <si>
    <t xml:space="preserve">https://news.virginia.edu/uva-news?page=5080</t>
  </si>
  <si>
    <t xml:space="preserve">Jash</t>
  </si>
  <si>
    <t xml:space="preserve">Arijita</t>
  </si>
  <si>
    <t xml:space="preserve">No search result found for Arijita Jash at UVA.</t>
  </si>
  <si>
    <t xml:space="preserve">Ji</t>
  </si>
  <si>
    <t xml:space="preserve">Yangfeng</t>
  </si>
  <si>
    <t xml:space="preserve">yj3fs@virginia.edu</t>
  </si>
  <si>
    <t xml:space="preserve">UVA Department of Computer Science</t>
  </si>
  <si>
    <t xml:space="preserve">Current UVA Engineering faculty profile; 2026 ASEE paper with UVA coauthors.</t>
  </si>
  <si>
    <t xml:space="preserve">https://engineering.virginia.edu/faculty/yangfeng-ji</t>
  </si>
  <si>
    <t xml:space="preserve">Lulu</t>
  </si>
  <si>
    <t xml:space="preserve">UVA School of Medicine, Department of Neuroscience</t>
  </si>
  <si>
    <t xml:space="preserve">UVA SOM news from Dec 2024 shows her as assistant professor with a $3.6M NIA R01; no 2025-26 source found.</t>
  </si>
  <si>
    <t xml:space="preserve">https://news.med.virginia.edu/?p=36546</t>
  </si>
  <si>
    <t xml:space="preserve">Jin</t>
  </si>
  <si>
    <t xml:space="preserve">Li</t>
  </si>
  <si>
    <t xml:space="preserve">UVA School of Medicine, Orthopaedic Surgery</t>
  </si>
  <si>
    <t xml:space="preserve">Current UVA SOM faculty listing and Orthopaedic Surgery research faculty page list Li Jin, PhD.</t>
  </si>
  <si>
    <t xml:space="preserve">https://med.virginia.edu/faculty/faculty-listing/lj7q</t>
  </si>
  <si>
    <t xml:space="preserve">Jirout</t>
  </si>
  <si>
    <t xml:space="preserve">Jamie</t>
  </si>
  <si>
    <t xml:space="preserve">jj3wc@virginia.edu</t>
  </si>
  <si>
    <t xml:space="preserve">Recent speaker bio (current AI/curiosity work) lists her as Associate Professor at UVA, and her Frontiers profile also lists UVA.</t>
  </si>
  <si>
    <t xml:space="preserve">https://www.childrenandscreens.org/?p=18416</t>
  </si>
  <si>
    <t xml:space="preserve">Jog</t>
  </si>
  <si>
    <t xml:space="preserve">Adwait</t>
  </si>
  <si>
    <t xml:space="preserve">ajog@virginia.edu</t>
  </si>
  <si>
    <t xml:space="preserve">University of Virginia, Computer Science</t>
  </si>
  <si>
    <t xml:space="preserve">UVA Engineering faculty page lists him as Associate Professor of CS (moved from William &amp; Mary).</t>
  </si>
  <si>
    <t xml:space="preserve">https://www.engineering.virginia.edu/faculty/adwait-jog</t>
  </si>
  <si>
    <t xml:space="preserve">Johnson</t>
  </si>
  <si>
    <t xml:space="preserve">bradley.johnson@virginia.edu</t>
  </si>
  <si>
    <t xml:space="preserve">Search for the name plus UVA found no relevant profile; the name is common and the field is unknown.</t>
  </si>
  <si>
    <t xml:space="preserve">Johnston</t>
  </si>
  <si>
    <t xml:space="preserve">University of Virginia, Neurology (likely)</t>
  </si>
  <si>
    <t xml:space="preserve">UVA SOM/news pages (2017-2022) list Karen C. Johnston as Harrison Distinguished Professor of Neurology and THRIV director; no 2025+ source found.</t>
  </si>
  <si>
    <t xml:space="preserve">https://news.med.virginia.edu/fac-dev-blog/page/44/</t>
  </si>
  <si>
    <t xml:space="preserve">Jomaa</t>
  </si>
  <si>
    <t xml:space="preserve">Ahmad</t>
  </si>
  <si>
    <t xml:space="preserve">ahmadjomaa@virginia.edu</t>
  </si>
  <si>
    <t xml:space="preserve">University of Virginia School of Medicine, Center for Membrane and Cell Physiology</t>
  </si>
  <si>
    <t xml:space="preserve">The med.virginia.edu Jomaa Lab page exists, and his virginia.edu email matches it.</t>
  </si>
  <si>
    <t xml:space="preserve">https://med.virginia.edu/jomaa-lab/?p=14</t>
  </si>
  <si>
    <t xml:space="preserve">Joshi</t>
  </si>
  <si>
    <t xml:space="preserve">Suchitra</t>
  </si>
  <si>
    <t xml:space="preserve">No search result for Suchitra Joshi at UVA.</t>
  </si>
  <si>
    <t xml:space="preserve">Jull</t>
  </si>
  <si>
    <t xml:space="preserve">mj5kh@virginia.edu</t>
  </si>
  <si>
    <t xml:space="preserve">University of Virginia, School of Architecture</t>
  </si>
  <si>
    <t xml:space="preserve">His UVA Architecture profile lists him as Associate Professor and director of the Arctic Design Group.</t>
  </si>
  <si>
    <t xml:space="preserve">https://arch.virginia.edu/node/370</t>
  </si>
  <si>
    <t xml:space="preserve">Kagan</t>
  </si>
  <si>
    <t xml:space="preserve">Leonid</t>
  </si>
  <si>
    <t xml:space="preserve">Unknown (possibly another institution)</t>
  </si>
  <si>
    <t xml:space="preserve">No UVA link found for Leonid Kagan; as a Multi-PI he may be a co-lead elsewhere.</t>
  </si>
  <si>
    <t xml:space="preserve">Kapur</t>
  </si>
  <si>
    <t xml:space="preserve">Jaideep</t>
  </si>
  <si>
    <t xml:space="preserve">University of Virginia, Neurology / UVA Brain Institute</t>
  </si>
  <si>
    <t xml:space="preserve">His UVA Health provider page and UVA Brain Institute team page list him as Professor of Neurology and Brain Institute co-director.</t>
  </si>
  <si>
    <t xml:space="preserve">https://braininstitute.virginia.edu/team/jaideep-kapur</t>
  </si>
  <si>
    <t xml:space="preserve">Karim</t>
  </si>
  <si>
    <t xml:space="preserve">Ayman</t>
  </si>
  <si>
    <t xml:space="preserve">pqg9zx@virginia.edu</t>
  </si>
  <si>
    <t xml:space="preserve">University of Virginia, Chemical Engineering (Chair)</t>
  </si>
  <si>
    <t xml:space="preserve">UVA Engineering announced he joined as ChE chair on Aug 1, 2025, coming from Virginia Tech.</t>
  </si>
  <si>
    <t xml:space="preserve">https://engineering.virginia.edu/news-events/news/uva-engineering-welcome-ayman-karim-new-chair-department-chemical-engineering</t>
  </si>
  <si>
    <t xml:space="preserve">Kawano</t>
  </si>
  <si>
    <t xml:space="preserve">Sandy</t>
  </si>
  <si>
    <t xml:space="preserve">brr3ph@virginia.edu</t>
  </si>
  <si>
    <t xml:space="preserve">Spring 2025 MLBS newsletter: new Associate Director, starting as UVA Asst Prof of Biology June 2025 (moved from GWU).</t>
  </si>
  <si>
    <t xml:space="preserve">https://mlbs.virginia.edu/sites/default/files/echoes_spring_2025_vol_26.pdf</t>
  </si>
  <si>
    <t xml:space="preserve">Kaya</t>
  </si>
  <si>
    <t xml:space="preserve">Alaattin</t>
  </si>
  <si>
    <t xml:space="preserve">UVA Dept of Biochemistry and Molecular Genetics</t>
  </si>
  <si>
    <t xml:space="preserve">UVA faculty listing and 2025 UVA Cancer Center news welcoming him (moved from VCU).</t>
  </si>
  <si>
    <t xml:space="preserve">https://med.virginia.edu/cancer-research/about-us/news/news-archive-2025/uvaccc-welcomes-alaattin-kaya-phd/</t>
  </si>
  <si>
    <t xml:space="preserve">Keene</t>
  </si>
  <si>
    <t xml:space="preserve">Keith</t>
  </si>
  <si>
    <t xml:space="preserve">Two searches found no UVA or other profile for Keith Keene.</t>
  </si>
  <si>
    <t xml:space="preserve">Kelly</t>
  </si>
  <si>
    <t xml:space="preserve">Kimberly</t>
  </si>
  <si>
    <t xml:space="preserve">UVA Biomedical Engineering (as of 2017)</t>
  </si>
  <si>
    <t xml:space="preserve">Only a 2017 UVA SOM item lists her as BME associate professor; no 2025-2026 evidence.</t>
  </si>
  <si>
    <t xml:space="preserve">https://med.virginia.edu/pharm/category/news/page/27/</t>
  </si>
  <si>
    <t xml:space="preserve">Kendall</t>
  </si>
  <si>
    <t xml:space="preserve">UVA SOM 2023 news names her associate professor and Shannon Center fellow through June 2026; UVA job posting lists her lab.</t>
  </si>
  <si>
    <t xml:space="preserve">https://med.virginia.edu/mic/2023/06/05/melissa-kindall-phd-named-uva-shannon-center-mid-career-fellow/</t>
  </si>
  <si>
    <t xml:space="preserve">Kennedy</t>
  </si>
  <si>
    <t xml:space="preserve">mkennedy@virginia.edu</t>
  </si>
  <si>
    <t xml:space="preserve">Two searches found no UVA profile for a Michael Kennedy matching an NSF award.</t>
  </si>
  <si>
    <t xml:space="preserve">Kent</t>
  </si>
  <si>
    <t xml:space="preserve">K</t>
  </si>
  <si>
    <t xml:space="preserve">University of Virginia (likely K. Craig Kent, surgery/former UVA Health CEO)</t>
  </si>
  <si>
    <t xml:space="preserve">Initials only; an aggregator shows K. Craig Kent holding FY2024 UVA NIH R01s, but his current status after leaving the UVA Health CEO role is unverified.</t>
  </si>
  <si>
    <t xml:space="preserve">https://conductscience.com/sciencedex/investigators/k-craig-kent</t>
  </si>
  <si>
    <t xml:space="preserve">Kenworthy</t>
  </si>
  <si>
    <t xml:space="preserve">Anne</t>
  </si>
  <si>
    <t xml:space="preserve">UVA Dept of Molecular Physiology and Biological Physics</t>
  </si>
  <si>
    <t xml:space="preserve">Appointed MPBP Vice Chair of Research Feb 2025-Jan 2027; Faculty Senate term to 2028.</t>
  </si>
  <si>
    <t xml:space="preserve">https://med.virginia.edu/physiology-biophysics/2025/02/03/dr-anne-kenworthy-appointed-as-vice-chair-of-research-for-mpbp/</t>
  </si>
  <si>
    <t xml:space="preserve">Children's National Hospital / George Washington University</t>
  </si>
  <si>
    <t xml:space="preserve">Chief of Neuropsychology at Children's National and GWU professor; external Multi-PI.</t>
  </si>
  <si>
    <t xml:space="preserve">https://research.childrensnational.org/people/lauren-kenworthy</t>
  </si>
  <si>
    <t xml:space="preserve">Khetarpal</t>
  </si>
  <si>
    <t xml:space="preserve">Sumeet</t>
  </si>
  <si>
    <t xml:space="preserve">UVA Division of Cardiovascular Medicine / CVRC</t>
  </si>
  <si>
    <t xml:space="preserve">CVRC Sept 2025 news: joined UVA as Assistant Professor of Cardiovascular Medicine.</t>
  </si>
  <si>
    <t xml:space="preserve">https://www.cvrc.virginia.edu/tag/new-research/</t>
  </si>
  <si>
    <t xml:space="preserve">Kibbe</t>
  </si>
  <si>
    <t xml:space="preserve">Melina</t>
  </si>
  <si>
    <t xml:space="preserve">UTHealth Houston</t>
  </si>
  <si>
    <t xml:space="preserve">Former UVA SOM dean; now president of UTHealth Houston.</t>
  </si>
  <si>
    <t xml:space="preserve">https://en.wikipedia.org/wiki/Melina_Kibbe</t>
  </si>
  <si>
    <t xml:space="preserve">Kiessling</t>
  </si>
  <si>
    <t xml:space="preserve">Volker</t>
  </si>
  <si>
    <t xml:space="preserve">Search returned no results for Volker Kiessling at UVA.</t>
  </si>
  <si>
    <t xml:space="preserve">Kim</t>
  </si>
  <si>
    <t xml:space="preserve">Possibly University of Virginia (John S. Kim)</t>
  </si>
  <si>
    <t xml:space="preserve">Common name; an aggregator lists a John S. Kim at UVA with a first NIH award in 2024, but no UVA profile was found.</t>
  </si>
  <si>
    <t xml:space="preserve">https://conductscience.com/sciencedex/investigators/john-s-kim</t>
  </si>
  <si>
    <t xml:space="preserve">Justin</t>
  </si>
  <si>
    <t xml:space="preserve">Common name; results showed only UVA MD alumni now elsewhere, and no current UVA researcher.</t>
  </si>
  <si>
    <t xml:space="preserve">Klein</t>
  </si>
  <si>
    <t xml:space="preserve">Eili</t>
  </si>
  <si>
    <t xml:space="preserve">No result for Eili Klein at UVA; as a Multi-PI he may be a co-lead elsewhere.</t>
  </si>
  <si>
    <t xml:space="preserve">Koberda</t>
  </si>
  <si>
    <t xml:space="preserve">tmk5a@virginia.edu</t>
  </si>
  <si>
    <t xml:space="preserve">University of Virginia, Mathematics</t>
  </si>
  <si>
    <t xml:space="preserve">UVA Shannon Center profile and Nov 2024 UVA Math news list him as Professor of Mathematics.</t>
  </si>
  <si>
    <t xml:space="preserve">https://shannon-center.provost.virginia.edu/thomas-koberda</t>
  </si>
  <si>
    <t xml:space="preserve">Koenig</t>
  </si>
  <si>
    <t xml:space="preserve">Gary</t>
  </si>
  <si>
    <t xml:space="preserve">gmk3k@virginia.edu</t>
  </si>
  <si>
    <t xml:space="preserve">University of Virginia, Chemical Engineering</t>
  </si>
  <si>
    <t xml:space="preserve">The Koenig Research Group page on UVA Engineering lists him as Professor of Chemical Engineering.</t>
  </si>
  <si>
    <t xml:space="preserve">https://engineering.virginia.edu/labs-groups/koenig-research-group/people</t>
  </si>
  <si>
    <t xml:space="preserve">Kordula</t>
  </si>
  <si>
    <t xml:space="preserve">Tomasz</t>
  </si>
  <si>
    <t xml:space="preserve">No UVA link found for Tomasz Kordula; as a Multi-PI he may be a co-lead elsewhere.</t>
  </si>
  <si>
    <t xml:space="preserve">Kosek</t>
  </si>
  <si>
    <t xml:space="preserve">Margaret</t>
  </si>
  <si>
    <t xml:space="preserve">Search returned no result for Margaret Kosek at UVA.</t>
  </si>
  <si>
    <t xml:space="preserve">Koval</t>
  </si>
  <si>
    <t xml:space="preserve">No relevant result for Michael Koval at UVA; as a Multi-PI he may be a co-lead elsewhere.</t>
  </si>
  <si>
    <t xml:space="preserve">Kovatchev</t>
  </si>
  <si>
    <t xml:space="preserve">Boris</t>
  </si>
  <si>
    <t xml:space="preserve">University of Virginia School of Medicine, Center for Diabetes Technology</t>
  </si>
  <si>
    <t xml:space="preserve">His med.virginia.edu Center for Diabetes Technology profile lists him as Professor and director.</t>
  </si>
  <si>
    <t xml:space="preserve">https://med.virginia.edu/diabetes-technology/faculty/boris-kovatchev-phd/</t>
  </si>
  <si>
    <t xml:space="preserve">Kozminski</t>
  </si>
  <si>
    <t xml:space="preserve">kgk8d@virginia.edu</t>
  </si>
  <si>
    <t xml:space="preserve">University of Virginia, Biology (likely)</t>
  </si>
  <si>
    <t xml:space="preserve">Only older UVA-linked pages (iGEM 2015-2016) list him as Associate Professor of Biology; no 2025+ UVA profile found, though his virginia.edu email fits.</t>
  </si>
  <si>
    <t xml:space="preserve">https://2016.igem.org/Team:Virginia/Attributions</t>
  </si>
  <si>
    <t xml:space="preserve">Kron</t>
  </si>
  <si>
    <t xml:space="preserve">Irving</t>
  </si>
  <si>
    <t xml:space="preserve">University of Virginia, Surgery (unclear)</t>
  </si>
  <si>
    <t xml:space="preserve">Long-time UVA surgery chair (to 2017), then held roles at the University of Arizona 2018-20; some UVA pages still list him, but no 2025+ confirmation.</t>
  </si>
  <si>
    <t xml:space="preserve">https://med.virginia.edu/tcv-lab/?p=1528</t>
  </si>
  <si>
    <t xml:space="preserve">Krukowski</t>
  </si>
  <si>
    <t xml:space="preserve">Rebecca</t>
  </si>
  <si>
    <t xml:space="preserve">UVA School of Medicine, Public Health Sciences</t>
  </si>
  <si>
    <t xml:space="preserve">UVA PHS faculty profile lists her as Professor; 2024 staff listing references her team.</t>
  </si>
  <si>
    <t xml:space="preserve">https://med.virginia.edu/phs/2021/12/21/krukowski-rebecca/</t>
  </si>
  <si>
    <t xml:space="preserve">Krushkal</t>
  </si>
  <si>
    <t xml:space="preserve">Vyacheslav</t>
  </si>
  <si>
    <t xml:space="preserve">krushkal@virginia.edu</t>
  </si>
  <si>
    <t xml:space="preserve">UVA Department of Mathematics</t>
  </si>
  <si>
    <t xml:space="preserve">Math Genealogy shows a 2025 UVA PhD supervised by him; virginia.edu email on active NSF grant.</t>
  </si>
  <si>
    <t xml:space="preserve">https://mathgenealogy.org/id.php?id=23992</t>
  </si>
  <si>
    <t xml:space="preserve">Kuan</t>
  </si>
  <si>
    <t xml:space="preserve">Chia-Yi</t>
  </si>
  <si>
    <t xml:space="preserve">UVA School of Medicine, Neuroscience</t>
  </si>
  <si>
    <t xml:space="preserve">UVA Neuroscience primary faculty page lists Chia-Yi (Alex) Kuan as Professor.</t>
  </si>
  <si>
    <t xml:space="preserve">https://med.virginia.edu/neuroscience/faculty/primary-faculty/alex-kuan-m-d-ph-d/</t>
  </si>
  <si>
    <t xml:space="preserve">Kucenas</t>
  </si>
  <si>
    <t xml:space="preserve">sk4ub@virginia.edu</t>
  </si>
  <si>
    <t xml:space="preserve">UVA Biology / Associate Dean for Research, A&amp;S</t>
  </si>
  <si>
    <t xml:space="preserve">UVA research news reports her appointment as Associate Dean for Research in A&amp;S.</t>
  </si>
  <si>
    <t xml:space="preserve">https://news.research.virginia.edu/author/msc6y/page/3/</t>
  </si>
  <si>
    <t xml:space="preserve">Kuhn</t>
  </si>
  <si>
    <t xml:space="preserve">Nicholas</t>
  </si>
  <si>
    <t xml:space="preserve">njk4x@virginia.edu</t>
  </si>
  <si>
    <t xml:space="preserve">UVA Mathematics (Emeritus)</t>
  </si>
  <si>
    <t xml:space="preserve">His CV lists him as professor 1991-2024 and emeritus since 2024.</t>
  </si>
  <si>
    <t xml:space="preserve">https://uva.theopenscholar.com/nick-kuhn/curriculum-vitae</t>
  </si>
  <si>
    <t xml:space="preserve">Kulkarni</t>
  </si>
  <si>
    <t xml:space="preserve">Saurabh</t>
  </si>
  <si>
    <t xml:space="preserve">UVA Cell Biology (as of 2021)</t>
  </si>
  <si>
    <t xml:space="preserve">Only a 2021 UVA Cell Biology item lists him as Assistant Professor; no newer evidence found.</t>
  </si>
  <si>
    <t xml:space="preserve">https://med.virginia.edu/cell-biology/?p=105938</t>
  </si>
  <si>
    <t xml:space="preserve">Kuo</t>
  </si>
  <si>
    <t xml:space="preserve">Min-Hao</t>
  </si>
  <si>
    <t xml:space="preserve">Michigan State University, Biochemistry &amp; Molecular Biology</t>
  </si>
  <si>
    <t xml:space="preserve">MSU directory lists him as Professor; UVA was only his postdoc; he is a Multi-PI with Kuan.</t>
  </si>
  <si>
    <t xml:space="preserve">https://directory.natsci.msu.edu/Directory/Profiles/Person/100446</t>
  </si>
  <si>
    <t xml:space="preserve">Yen-Ling</t>
  </si>
  <si>
    <t xml:space="preserve">ylkuo@virginia.edu</t>
  </si>
  <si>
    <t xml:space="preserve">UVA (Computer Science, LIVE Robotics lab), likely</t>
  </si>
  <si>
    <t xml:space="preserve">An undated NTU internship listing names her as UVA Assistant Professor; no virginia.edu profile in results.</t>
  </si>
  <si>
    <t xml:space="preserve">https://internshipabroad.ntu.edu.tw/organization/yen-ling-kuo</t>
  </si>
  <si>
    <t xml:space="preserve">Kutaka</t>
  </si>
  <si>
    <t xml:space="preserve">Traci</t>
  </si>
  <si>
    <t xml:space="preserve">traci.kutaka@virginia.edu</t>
  </si>
  <si>
    <t xml:space="preserve">Unknown (virginia.edu email on grant)</t>
  </si>
  <si>
    <t xml:space="preserve">The search found nothing on her; only the grant's virginia.edu email links her to UVA.</t>
  </si>
  <si>
    <t xml:space="preserve">Kuyumcu-Martinez</t>
  </si>
  <si>
    <t xml:space="preserve">Muge</t>
  </si>
  <si>
    <t xml:space="preserve">She joined UVA in Feb 2023; UVA lab page and 2024 Cancer Center news list her as Professor.</t>
  </si>
  <si>
    <t xml:space="preserve">https://med.virginia.edu/kuyumcu-martinez-lab</t>
  </si>
  <si>
    <t xml:space="preserve">Lambert</t>
  </si>
  <si>
    <t xml:space="preserve">lambert@virginia.edu</t>
  </si>
  <si>
    <t xml:space="preserve">UVA Engineering, Systems &amp; Information Engineering</t>
  </si>
  <si>
    <t xml:space="preserve">UVA faculty page cites a 2025 SRA award and his role as 2024-25 Faculty Senate chair.</t>
  </si>
  <si>
    <t xml:space="preserve">https://engineering.virginia.edu/faculty/james-h-lambert</t>
  </si>
  <si>
    <t xml:space="preserve">Lange</t>
  </si>
  <si>
    <t xml:space="preserve">Leslie</t>
  </si>
  <si>
    <t xml:space="preserve">University of Colorado Anschutz Medical Campus</t>
  </si>
  <si>
    <t xml:space="preserve">Colorado PROFILES lists her as Professor of Medicine there; she is likely a Multi-PI co-lead.</t>
  </si>
  <si>
    <t xml:space="preserve">https://profiles.ucdenver.edu/display/12755888/network/researchareas/timeline</t>
  </si>
  <si>
    <t xml:space="preserve">Larner</t>
  </si>
  <si>
    <t xml:space="preserve">UVA Health, Radiation Oncology (Chair)</t>
  </si>
  <si>
    <t xml:space="preserve">UVA Health and SOM pages list him as Chair of Radiation Oncology and UPG President.</t>
  </si>
  <si>
    <t xml:space="preserve">https://med.virginia.edu/radiation-oncology/uva-radiation-oncology-faculty/physicians/james-larner-m-d</t>
  </si>
  <si>
    <t xml:space="preserve">Larson</t>
  </si>
  <si>
    <t xml:space="preserve">Tracy</t>
  </si>
  <si>
    <t xml:space="preserve">UVA Faculty Senate directory lists Tracy A. Larson, Asst Prof of Biology, with a committee term ending 2028.</t>
  </si>
  <si>
    <t xml:space="preserve">https://facultysenate.virginia.edu/node/5151</t>
  </si>
  <si>
    <t xml:space="preserve">Laszewski</t>
  </si>
  <si>
    <t xml:space="preserve">Gregor</t>
  </si>
  <si>
    <t xml:space="preserve">thf2bn@virginia.edu</t>
  </si>
  <si>
    <t xml:space="preserve">UVA Biocomplexity Institute</t>
  </si>
  <si>
    <t xml:space="preserve">UVA Biocomplexity profile lists him as Research Professor, citing a 2025 award; he is also a Loyola adjunct.</t>
  </si>
  <si>
    <t xml:space="preserve">https://biocomplexity.virginia.edu/person/gregor-von-laszewski</t>
  </si>
  <si>
    <t xml:space="preserve">Laubach</t>
  </si>
  <si>
    <t xml:space="preserve">Victor</t>
  </si>
  <si>
    <t xml:space="preserve">Retired from UVA Surgery</t>
  </si>
  <si>
    <t xml:space="preserve">A Feb 2025 UVA Surgery announcement marks his retirement after 28 years.</t>
  </si>
  <si>
    <t xml:space="preserve">https://med.virginia.edu/surgery/?p=12230</t>
  </si>
  <si>
    <t xml:space="preserve">Lazzara</t>
  </si>
  <si>
    <t xml:space="preserve">UVA Engineering, Chemical Engineering / BME</t>
  </si>
  <si>
    <t xml:space="preserve">UVA ChE people page lists him as Professor of Chemical and Biomedical Engineering.</t>
  </si>
  <si>
    <t xml:space="preserve">https://engineering.virginia.edu/department/chemical-engineering/people?page=2</t>
  </si>
  <si>
    <t xml:space="preserve">Le</t>
  </si>
  <si>
    <t xml:space="preserve">UVA School of Medicine, Dermatology (Chair)</t>
  </si>
  <si>
    <t xml:space="preserve">He became Chair of Dermatology in Jan 2024 and is practicing at UVA Health.</t>
  </si>
  <si>
    <t xml:space="preserve">https://news.med.virginia.edu/faculty/get-to-know-lu-le-md-phd-chair-of-the-department-of-dermatology/</t>
  </si>
  <si>
    <t xml:space="preserve">Lebaron</t>
  </si>
  <si>
    <t xml:space="preserve">Virginia</t>
  </si>
  <si>
    <t xml:space="preserve">UVA Nursing directory lists her as Associate Professor and Kluge-Schakat Professor.</t>
  </si>
  <si>
    <t xml:space="preserve">https://nursing.virginia.edu/people/faculty-directory</t>
  </si>
  <si>
    <t xml:space="preserve">Lee</t>
  </si>
  <si>
    <t xml:space="preserve">Carolyn</t>
  </si>
  <si>
    <t xml:space="preserve">The search found no UVA Carolyn Lee; the name is common.</t>
  </si>
  <si>
    <t xml:space="preserve">Kyusang</t>
  </si>
  <si>
    <t xml:space="preserve">kl6ut@virginia.edu</t>
  </si>
  <si>
    <t xml:space="preserve">UVA Engineering, ECE / Materials Science</t>
  </si>
  <si>
    <t xml:space="preserve">UVA Engineering faculty profile lists him as Associate Professor in ECE and MSE.</t>
  </si>
  <si>
    <t xml:space="preserve">https://engineering.virginia.edu/faculty/kyusang-lee</t>
  </si>
  <si>
    <t xml:space="preserve">Ryan</t>
  </si>
  <si>
    <t xml:space="preserve">The search found no UVA SOM Ryan Lee; the name is common.</t>
  </si>
  <si>
    <t xml:space="preserve">Leitinger</t>
  </si>
  <si>
    <t xml:space="preserve">Norbert</t>
  </si>
  <si>
    <t xml:space="preserve">University of Virginia (Pharmacology / CVRC)</t>
  </si>
  <si>
    <t xml:space="preserve">LIPID MAPS webinar and a Virginia state-jobs postdoc listing describe him as UVA Professor of Pharmacology; neither is dated, and no 2025-2026 UVA profile turned up.</t>
  </si>
  <si>
    <t xml:space="preserve">https://jobs.am.virginia.gov/jobs/postdoctoral-research-associate-pharmacology-charlottesville-virginia-united-states</t>
  </si>
  <si>
    <t xml:space="preserve">Lerdau</t>
  </si>
  <si>
    <t xml:space="preserve">Manuel</t>
  </si>
  <si>
    <t xml:space="preserve">mlerdau@virginia.edu</t>
  </si>
  <si>
    <t xml:space="preserve">University of Virginia, Dept. of Environmental Sciences</t>
  </si>
  <si>
    <t xml:space="preserve">UVA Engaged and ETP virginia.edu profiles list him as Professor of Environmental Sciences.</t>
  </si>
  <si>
    <t xml:space="preserve">https://engageduva.virginia.edu/people/manuel-lerdau</t>
  </si>
  <si>
    <t xml:space="preserve">Letteri</t>
  </si>
  <si>
    <t xml:space="preserve">Rachel</t>
  </si>
  <si>
    <t xml:space="preserve">rl2qm@virginia.edu</t>
  </si>
  <si>
    <t xml:space="preserve">University of Virginia, Dept. of Chemical Engineering</t>
  </si>
  <si>
    <t xml:space="preserve">UVA Engineering faculty page lists her as Associate Professor of Chemical Engineering.</t>
  </si>
  <si>
    <t xml:space="preserve">https://engineering.virginia.edu/faculty/rachel-letteri</t>
  </si>
  <si>
    <t xml:space="preserve">Letzkus</t>
  </si>
  <si>
    <t xml:space="preserve">Lisa</t>
  </si>
  <si>
    <t xml:space="preserve">UVA Health / School of Medicine, Pediatrics</t>
  </si>
  <si>
    <t xml:space="preserve">Current UVA Children's provider page and med.virginia.edu profile list her as Associate Professor of Pediatrics.</t>
  </si>
  <si>
    <t xml:space="preserve">https://med.virginia.edu/advanced-medical-analytics/our-people/lisa-letzkus-phd/</t>
  </si>
  <si>
    <t xml:space="preserve">Levental</t>
  </si>
  <si>
    <t xml:space="preserve">Ilya</t>
  </si>
  <si>
    <t xml:space="preserve">University of Virginia, Molecular Physiology &amp; Biological Physics</t>
  </si>
  <si>
    <t xml:space="preserve">2025 UVA Health news (Apr 2025 Cell paper, Oct 2025 newsletter) features him as UVA professor.</t>
  </si>
  <si>
    <t xml:space="preserve">https://news.med.virginia.edu/newsletter/10-30-25-issue/</t>
  </si>
  <si>
    <t xml:space="preserve">Kandice</t>
  </si>
  <si>
    <t xml:space="preserve">2025 UVA Health news profiles the Levental team including Kandice as UVA faculty.</t>
  </si>
  <si>
    <t xml:space="preserve">Levy</t>
  </si>
  <si>
    <t xml:space="preserve">Amit</t>
  </si>
  <si>
    <t xml:space="preserve">amit@amitlevy.com</t>
  </si>
  <si>
    <t xml:space="preserve">amitlevy.com</t>
  </si>
  <si>
    <t xml:space="preserve">Chaofan</t>
  </si>
  <si>
    <t xml:space="preserve">Common name; no UVA profile found, though one Chaofan Li co-authors with Jie Sun, who is now at UVA.</t>
  </si>
  <si>
    <t xml:space="preserve">https://biomed.reviewer.ly/app/expert/chaofan-li</t>
  </si>
  <si>
    <t xml:space="preserve">Hui</t>
  </si>
  <si>
    <t xml:space="preserve">UVA Dept of Pathology (as of ~2024)</t>
  </si>
  <si>
    <t xml:space="preserve">UVA news shows Hui Li, PhD, Pathology professor (chimeric RNA); no 2025-2026 evidence found.</t>
  </si>
  <si>
    <t xml:space="preserve">https://www.uvahealth.com/news/newly-discovered-chimeras-influence-health-wellness</t>
  </si>
  <si>
    <t xml:space="preserve">Jundong</t>
  </si>
  <si>
    <t xml:space="preserve">jl6qk@virginia.edu</t>
  </si>
  <si>
    <t xml:space="preserve">UVA ECE/CS/Data Science (as of 2023)</t>
  </si>
  <si>
    <t xml:space="preserve">UVA Data Science news and 2023 posting show him as UVA assistant professor; no 2025-2026 evidence found.</t>
  </si>
  <si>
    <t xml:space="preserve">https://datascience.virginia.edu/news/assistant-professor-jundong-li-named-2023-uva-research-communications-fellow</t>
  </si>
  <si>
    <t xml:space="preserve">Sheng</t>
  </si>
  <si>
    <t xml:space="preserve">vga8uf@virginia.edu</t>
  </si>
  <si>
    <t xml:space="preserve">UVA School of Data Science (possibly on leave at Oracle)</t>
  </si>
  <si>
    <t xml:space="preserve">July 2025 CV and Oct 2025 news show UVA associate professor, but Oracle profile says he is on leave from UVA as Oracle scientist.</t>
  </si>
  <si>
    <t xml:space="preserve">https://api.dsi.virginia.edu/sites/default/files/2025-09/Sheng_Li_CV_2025.07.pdf</t>
  </si>
  <si>
    <t xml:space="preserve">Xin</t>
  </si>
  <si>
    <t xml:space="preserve">UVA Dept of Plastic Surgery (Basic Science Research)</t>
  </si>
  <si>
    <t xml:space="preserve">UVA plastic surgery page says Dr. Xin Li joined UVA from NYU and continues succinate research; FY2026 R01 administered by UVA.</t>
  </si>
  <si>
    <t xml:space="preserve">https://med.virginia.edu/plastic-surgery-and-oral-health/research-activities/wound-healing-lab-collaborations/</t>
  </si>
  <si>
    <t xml:space="preserve">Xudong</t>
  </si>
  <si>
    <t xml:space="preserve">UVA Dept of Orthopaedic Surgery</t>
  </si>
  <si>
    <t xml:space="preserve">Current UVA Health provider profile and UVA ortho faculty page for Xudong Joshua Li, MD, PhD.</t>
  </si>
  <si>
    <t xml:space="preserve">https://www.uvahealth.com/providers/Xudong-Li-1578889101</t>
  </si>
  <si>
    <t xml:space="preserve">Yongqing</t>
  </si>
  <si>
    <t xml:space="preserve">University of Michigan Dept of Surgery (likely)</t>
  </si>
  <si>
    <t xml:space="preserve">No UVA link found; matching researcher Yongqing Li is in University of Michigan Surgery (trauma/shock), consistent with external Multi-PI.</t>
  </si>
  <si>
    <t xml:space="preserve">https://www.jove.com/author/33852/yongqing-li</t>
  </si>
  <si>
    <t xml:space="preserve">Zhi-Yun</t>
  </si>
  <si>
    <t xml:space="preserve">zl4h@virginia.edu</t>
  </si>
  <si>
    <t xml:space="preserve">UVA Dept of Astronomy</t>
  </si>
  <si>
    <t xml:space="preserve">UVA astronomy faculty/Director of Graduate Studies, teaching listings through Fall 2025.</t>
  </si>
  <si>
    <t xml:space="preserve">https://thecourseforum.com/instructor/231</t>
  </si>
  <si>
    <t xml:space="preserve">Limaye</t>
  </si>
  <si>
    <t xml:space="preserve">Ajay</t>
  </si>
  <si>
    <t xml:space="preserve">ajay@virginia.edu</t>
  </si>
  <si>
    <t xml:space="preserve">Two searches found no web evidence linking Ajay Limaye to UVA.</t>
  </si>
  <si>
    <t xml:space="preserve">Lin</t>
  </si>
  <si>
    <t xml:space="preserve">Felix Xiaozhu</t>
  </si>
  <si>
    <t xml:space="preserve">felixlin@virginia.edu</t>
  </si>
  <si>
    <t xml:space="preserve">UVA Dept of Computer Science (unverified)</t>
  </si>
  <si>
    <t xml:space="preserve">Search returned no profile for Felix Xiaozhu Lin; UVA email on grant only.</t>
  </si>
  <si>
    <t xml:space="preserve">Zongli</t>
  </si>
  <si>
    <t xml:space="preserve">zl5y@virginia.edu</t>
  </si>
  <si>
    <t xml:space="preserve">UVA Dept of ECE (as of 2001)</t>
  </si>
  <si>
    <t xml:space="preserve">Only old (2001) evidence of UVA EE affiliation found.</t>
  </si>
  <si>
    <t xml:space="preserve">https://catalogue.bnf.fr/ark:/12148/cb144452705</t>
  </si>
  <si>
    <t xml:space="preserve">Lindner</t>
  </si>
  <si>
    <t xml:space="preserve">Current UVA Health provider page and CVRC faculty page list him as Frances Myers Ball Professor of Medicine.</t>
  </si>
  <si>
    <t xml:space="preserve">https://uvahealth.com/providers/Jonathan-Lindner-1073521506</t>
  </si>
  <si>
    <t xml:space="preserve">Little</t>
  </si>
  <si>
    <t xml:space="preserve">University of Virginia, Public Health Sciences (as of 2017)</t>
  </si>
  <si>
    <t xml:space="preserve">Only UVA evidence found is a 2017 PHS faculty page (Assoc. Prof., tobacco control).</t>
  </si>
  <si>
    <t xml:space="preserve">https://med.virginia.edu/phs/2017/09/15/littlemelissa/</t>
  </si>
  <si>
    <t xml:space="preserve">Liu</t>
  </si>
  <si>
    <t xml:space="preserve">Bin</t>
  </si>
  <si>
    <t xml:space="preserve">Very common name on an NIH multi-PI grant; no UVA Bin Liu found (several elsewhere).</t>
  </si>
  <si>
    <t xml:space="preserve">Chang-Chia</t>
  </si>
  <si>
    <t xml:space="preserve">Multi-PI; the combined search turned up nothing for Chang-Chia Liu.</t>
  </si>
  <si>
    <t xml:space="preserve">Multi-PI with a common name; no UVA Song Liu found in the combined search.</t>
  </si>
  <si>
    <t xml:space="preserve">Zhenqi</t>
  </si>
  <si>
    <t xml:space="preserve">UVA School of Medicine, Endocrinology &amp; Metabolism</t>
  </si>
  <si>
    <t xml:space="preserve">med.virginia.edu faculty listing and UVA Health provider page list him as Professor of Medicine.</t>
  </si>
  <si>
    <t xml:space="preserve">https://med.virginia.edu/faculty/faculty-listing/zl3e/</t>
  </si>
  <si>
    <t xml:space="preserve">Lobo</t>
  </si>
  <si>
    <t xml:space="preserve">Only a 2017 EMU news item names Jennifer Mason Lobo as UVA PHS assistant professor; no current profile found.</t>
  </si>
  <si>
    <t xml:space="preserve">https://emu.edu/now/news/2017/35836/</t>
  </si>
  <si>
    <t xml:space="preserve">Long</t>
  </si>
  <si>
    <t xml:space="preserve">University of Virginia, Psychology (as of 2024)</t>
  </si>
  <si>
    <t xml:space="preserve">A 2024 Yale news item mentions a student joining Nicole Long's lab at UVA Psychology; no current profile found.</t>
  </si>
  <si>
    <t xml:space="preserve">https://medicine.yale.edu/news-article/congratulations-to-dawn-on-graduate-school</t>
  </si>
  <si>
    <t xml:space="preserve">Loth</t>
  </si>
  <si>
    <t xml:space="preserve">el9r@virginia.edu</t>
  </si>
  <si>
    <t xml:space="preserve">University of Virginia, Mechanical &amp; Aerospace Engineering</t>
  </si>
  <si>
    <t xml:space="preserve">A 2025 CV hosted on engineering.virginia.edu and the IRC page list him as Rolls-Royce Professor at UVA.</t>
  </si>
  <si>
    <t xml:space="preserve">https://engineering.virginia.edu/sites/default/files/Documents%20(PDF%20etc)/2025%20Loth%20CV.pdf</t>
  </si>
  <si>
    <t xml:space="preserve">Lou</t>
  </si>
  <si>
    <t xml:space="preserve">chlou@virginia.edu</t>
  </si>
  <si>
    <t xml:space="preserve">Unknown (has virginia.edu email)</t>
  </si>
  <si>
    <t xml:space="preserve">Search found no UVA profile for Chang Lou; the only basis for UVA is the virginia.edu email on the NSF award.</t>
  </si>
  <si>
    <t xml:space="preserve">Loughran</t>
  </si>
  <si>
    <t xml:space="preserve">UVA Comprehensive Cancer Center</t>
  </si>
  <si>
    <t xml:space="preserve">Aug 2025 UVA Health news names him Cancer Center Director on a new $13M award.</t>
  </si>
  <si>
    <t xml:space="preserve">https://news.med.virginia.edu/?p=49520</t>
  </si>
  <si>
    <t xml:space="preserve">Tsai-Yi</t>
  </si>
  <si>
    <t xml:space="preserve">No results for Tsai-Yi Lu at UVA.</t>
  </si>
  <si>
    <t xml:space="preserve">Xiaowei</t>
  </si>
  <si>
    <t xml:space="preserve">Only a funding aggregator lists Xiaowei Lu at UVA with FY2024 NIH grants (neural tube, hair cells); no UVA profile found.</t>
  </si>
  <si>
    <t xml:space="preserve">https://conductscience.com/sciencedex/investigators/xiaowei-lu</t>
  </si>
  <si>
    <t xml:space="preserve">Lukens</t>
  </si>
  <si>
    <t xml:space="preserve">med.virginia.edu faculty listing names him Professor of Neuroscience; he is also director of the Harrison Center (2024).</t>
  </si>
  <si>
    <t xml:space="preserve">https://med.virginia.edu/faculty/faculty-listing/jrl7n/</t>
  </si>
  <si>
    <t xml:space="preserve">Lunardi</t>
  </si>
  <si>
    <t xml:space="preserve">Nadia</t>
  </si>
  <si>
    <t xml:space="preserve">UVA Health, Anesthesiology</t>
  </si>
  <si>
    <t xml:space="preserve">UVA faculty page and Lunardi Lab site list her as Associate Professor and Neuroanesthesia Division Chief.</t>
  </si>
  <si>
    <t xml:space="preserve">https://med.virginia.edu/lunardi-lab/principal-investigator/</t>
  </si>
  <si>
    <t xml:space="preserve">Lynch</t>
  </si>
  <si>
    <t xml:space="preserve">University of Virginia (Pharmacology) - undated</t>
  </si>
  <si>
    <t xml:space="preserve">Crunchbase and older UVA Pharmacology posts list him as Professor/Vice-Chair of Pharmacology; no dated 2025-2026 UVA source found.</t>
  </si>
  <si>
    <t xml:space="preserve">https://med.virginia.edu/pharm/?p=2780</t>
  </si>
  <si>
    <t xml:space="preserve">Wendy</t>
  </si>
  <si>
    <t xml:space="preserve">University of Virginia, Psychiatry and Neurobehavioral Sciences</t>
  </si>
  <si>
    <t xml:space="preserve">Current UVA SOM faculty listing shows her as Professor (promoted after 2024 news).</t>
  </si>
  <si>
    <t xml:space="preserve">https://med.virginia.edu/faculty/faculty-listing/wjl6w/</t>
  </si>
  <si>
    <t xml:space="preserve">Ma</t>
  </si>
  <si>
    <t xml:space="preserve">Jianjie</t>
  </si>
  <si>
    <t xml:space="preserve">University of Virginia, Department of Surgery</t>
  </si>
  <si>
    <t xml:space="preserve">May 2025 NIH biosketch lists him as William H. Muller Professor and Director of Surgical Sciences at UVA.</t>
  </si>
  <si>
    <t xml:space="preserve">https://www.jianjiemalab.com/wp-content/uploads/2025/05/Ma_NIH-Biosketch-5-10-2025.pdf</t>
  </si>
  <si>
    <t xml:space="preserve">Maccormack</t>
  </si>
  <si>
    <t xml:space="preserve">PI, Multi-PI</t>
  </si>
  <si>
    <t xml:space="preserve">maccormack@virginia.edu</t>
  </si>
  <si>
    <t xml:space="preserve">University of Virginia, Department of Psychology</t>
  </si>
  <si>
    <t xml:space="preserve">UVA listserv names her PI of the Virginia Affect &amp; Interoception Lab in UVA Psychology; UNC alumni profile says she is assistant professor at UVA.</t>
  </si>
  <si>
    <t xml:space="preserve">https://lists.virginia.edu/sympa/info/vail-grad</t>
  </si>
  <si>
    <t xml:space="preserve">Machan</t>
  </si>
  <si>
    <t xml:space="preserve">machan@virginia.edu</t>
  </si>
  <si>
    <t xml:space="preserve">University of Virginia, Department of Chemistry</t>
  </si>
  <si>
    <t xml:space="preserve">UVA group site lists him as associate professor; UVA Chemistry seminar listing from Sept 2025.</t>
  </si>
  <si>
    <t xml:space="preserve">https://machangroup.virginia.edu/bio</t>
  </si>
  <si>
    <t xml:space="preserve">Madden</t>
  </si>
  <si>
    <t xml:space="preserve">University of Virginia, Medicine - Infectious Diseases</t>
  </si>
  <si>
    <t xml:space="preserve">Current UVA faculty listing and UVA Health provider profile list him as Assistant Professor of Medicine.</t>
  </si>
  <si>
    <t xml:space="preserve">https://med.virginia.edu/faculty/faculty-listing/grm7q/</t>
  </si>
  <si>
    <t xml:space="preserve">Maeng</t>
  </si>
  <si>
    <t xml:space="preserve">jlc7d@virginia.edu</t>
  </si>
  <si>
    <t xml:space="preserve">Search returned nothing on Jennifer Maeng; only the virginia.edu email links her to UVA.</t>
  </si>
  <si>
    <t xml:space="preserve">Magee</t>
  </si>
  <si>
    <t xml:space="preserve">Neal</t>
  </si>
  <si>
    <t xml:space="preserve">nem2p@virginia.edu</t>
  </si>
  <si>
    <t xml:space="preserve">No results tying Neal Magee to UVA; only the virginia.edu email in the grant record.</t>
  </si>
  <si>
    <t xml:space="preserve">Majewski</t>
  </si>
  <si>
    <t xml:space="preserve">srm4n@virginia.edu</t>
  </si>
  <si>
    <t xml:space="preserve">University of Virginia, Department of Astronomy</t>
  </si>
  <si>
    <t xml:space="preserve">UVA profile pages list him as Professor of Astronomy; he taught UVA courses through Fall 2024, and there is no sign he left.</t>
  </si>
  <si>
    <t xml:space="preserve">https://global.virginia.edu/steve-majewski</t>
  </si>
  <si>
    <t xml:space="preserve">Malin</t>
  </si>
  <si>
    <t xml:space="preserve">Rutgers University (Kinesiology and Health)</t>
  </si>
  <si>
    <t xml:space="preserve">Steven K. Malin is an associate professor at Rutgers (AMP Lab), so he is likely an outside Multi-PI.</t>
  </si>
  <si>
    <t xml:space="preserve">https://medicalresearch.com/?p=59573</t>
  </si>
  <si>
    <t xml:space="preserve">Maloni</t>
  </si>
  <si>
    <t xml:space="preserve">Sara</t>
  </si>
  <si>
    <t xml:space="preserve">sm4cw@virginia.edu</t>
  </si>
  <si>
    <t xml:space="preserve">No search results for Sara Maloni at UVA; only the virginia.edu email in the grant record.</t>
  </si>
  <si>
    <t xml:space="preserve">Manferdelli</t>
  </si>
  <si>
    <t xml:space="preserve">johnmanferdelli@hotmail.com</t>
  </si>
  <si>
    <t xml:space="preserve">Unknown (previously Northeastern University / Google)</t>
  </si>
  <si>
    <t xml:space="preserve">No UVA link found; an older news item says Northeastern hired him to lead a cybersecurity institute; grant email is hotmail.</t>
  </si>
  <si>
    <t xml:space="preserve">https://news.northeastern.edu/in-the-media/boston-tech-watch-google-visible-measures-smack-placepass-more/</t>
  </si>
  <si>
    <t xml:space="preserve">Manichaikul</t>
  </si>
  <si>
    <t xml:space="preserve">Ani</t>
  </si>
  <si>
    <t xml:space="preserve">University of Virginia, Genome Sciences / Public Health Sciences</t>
  </si>
  <si>
    <t xml:space="preserve">Oct 2025 UVA Health newsletter identifies her as Associate Professor of Genome Sciences.</t>
  </si>
  <si>
    <t xml:space="preserve">https://news.med.virginia.edu/newsletter/10-9-25-issue/</t>
  </si>
  <si>
    <t xml:space="preserve">Manning</t>
  </si>
  <si>
    <t xml:space="preserve">cm4r@virginia.edu</t>
  </si>
  <si>
    <t xml:space="preserve">University of Virginia, Department of Neurology</t>
  </si>
  <si>
    <t xml:space="preserve">UVA Health provider profile lists her as Professor of Neurology; a 2026 UVA job posting names her search chair.</t>
  </si>
  <si>
    <t xml:space="preserve">https://www.uvahealth.com/providers/Carol-Manning-1124197751</t>
  </si>
  <si>
    <t xml:space="preserve">Marchi</t>
  </si>
  <si>
    <t xml:space="preserve">Enrica</t>
  </si>
  <si>
    <t xml:space="preserve">No results tying Enrica Marchi to UVA; NIH Multi-PI, so she may be at another institution.</t>
  </si>
  <si>
    <t xml:space="preserve">tmark@virginia.edu</t>
  </si>
  <si>
    <t xml:space="preserve">University of Virginia, Department of Mathematics</t>
  </si>
  <si>
    <t xml:space="preserve">UVA course pages list him as Professor of Mathematics, with a Fall 2025 course.</t>
  </si>
  <si>
    <t xml:space="preserve">https://uva.theopenscholar.com/tom-mark/classes/math-3310-basic-real-analysis-0</t>
  </si>
  <si>
    <t xml:space="preserve">Martens</t>
  </si>
  <si>
    <t xml:space="preserve">University of Virginia School of Medicine (Senior Associate Dean for Research)</t>
  </si>
  <si>
    <t xml:space="preserve">Joined UVA SOM as Senior Associate Dean for Research in May 2023; no evidence he left.</t>
  </si>
  <si>
    <t xml:space="preserve">https://newsroom.uvahealth.com/2023/01/20/top-pharmacology-researcher-oversee-pioneering-biomedical-research/img_4015/</t>
  </si>
  <si>
    <t xml:space="preserve">Martin</t>
  </si>
  <si>
    <t xml:space="preserve">University of Virginia, Department of Pharmacology</t>
  </si>
  <si>
    <t xml:space="preserve">UVA Pharmacology announced him as new faculty in Jan 2024, setting up a lab in Pinn Hall; no evidence he left.</t>
  </si>
  <si>
    <t xml:space="preserve">https://med.virginia.edu/pharm/tag/intranet/page/6/</t>
  </si>
  <si>
    <t xml:space="preserve">Marto</t>
  </si>
  <si>
    <t xml:space="preserve">Jarrod</t>
  </si>
  <si>
    <t xml:space="preserve">Likely University of Virginia (Biochemistry &amp; Molecular Genetics / Chemistry)</t>
  </si>
  <si>
    <t xml:space="preserve">Aggregated UVA job postings list Dr. Jarrod Marto in UVA BMG and Chemistry recruiting postdocs; no official UVA profile found (formerly Dana-Farber/Harvard).</t>
  </si>
  <si>
    <t xml:space="preserve">https://scholaridea.com/?p=61951</t>
  </si>
  <si>
    <t xml:space="preserve">Mason</t>
  </si>
  <si>
    <t xml:space="preserve">Kazlin</t>
  </si>
  <si>
    <t xml:space="preserve">University of Virginia (School of Education) - 2024</t>
  </si>
  <si>
    <t xml:space="preserve">UVA research news listing mentions her as UVA education faculty receiving a 2024 honor; no 2025-2026 source found.</t>
  </si>
  <si>
    <t xml:space="preserve">Mata</t>
  </si>
  <si>
    <t xml:space="preserve">Jaime</t>
  </si>
  <si>
    <t xml:space="preserve">University of Virginia, Radiology and Medical Imaging</t>
  </si>
  <si>
    <t xml:space="preserve">UVA radiology research faculty directory lists him as Professor and assistant director of the Center for In-vivo HPG MRI.</t>
  </si>
  <si>
    <t xml:space="preserve">https://med.virginia.edu/radiology-research/radiology-research-faculty</t>
  </si>
  <si>
    <t xml:space="preserve">Mathers</t>
  </si>
  <si>
    <t xml:space="preserve">Amy</t>
  </si>
  <si>
    <t xml:space="preserve">University of Virginia Health, Medicine and Pathology</t>
  </si>
  <si>
    <t xml:space="preserve">UVA Today page lists Dr. Amy Mathers as associate professor at UVA Health in medicine and pathology.</t>
  </si>
  <si>
    <t xml:space="preserve">https://news.virginia.edu/node/354586</t>
  </si>
  <si>
    <t xml:space="preserve">Mattos</t>
  </si>
  <si>
    <t xml:space="preserve">Meghan</t>
  </si>
  <si>
    <t xml:space="preserve">Tenured associate professor at UVA Nursing (2024 promotion); teaching UVA courses through Fall 2025.</t>
  </si>
  <si>
    <t xml:space="preserve">https://nursing.virginia.edu/news/2024-promotions_byon_quatrara_mattos_williams</t>
  </si>
  <si>
    <t xml:space="preserve">Mauskopf</t>
  </si>
  <si>
    <t xml:space="preserve">mauskopf@asu.edu</t>
  </si>
  <si>
    <t xml:space="preserve">asu.edu</t>
  </si>
  <si>
    <t xml:space="preserve">Mcculloch</t>
  </si>
  <si>
    <t xml:space="preserve">UVA Health (Pediatric Cardiology)</t>
  </si>
  <si>
    <t xml:space="preserve">Michael McCulloch MD, professor of pediatrics at UVA Children's since 2017, featured in Oct 2024 SOM newsletter; no 2025+ evidence found.</t>
  </si>
  <si>
    <t xml:space="preserve">https://news.med.virginia.edu/newsletter/10-31-24-issue/</t>
  </si>
  <si>
    <t xml:space="preserve">Mcdevitt-Murphy</t>
  </si>
  <si>
    <t xml:space="preserve">University of Memphis</t>
  </si>
  <si>
    <t xml:space="preserve">Professor of Psychology at the University of Memphis since 2006; she is a Multi-PI co-lead from another institution.</t>
  </si>
  <si>
    <t xml:space="preserve">https://www.memphis.edu/psychology/people/faculty/mcdevitt-murphy.php</t>
  </si>
  <si>
    <t xml:space="preserve">McElhaney</t>
  </si>
  <si>
    <t xml:space="preserve">kmcelhaney@digitalpromise.org</t>
  </si>
  <si>
    <t xml:space="preserve">digitalpromise.org</t>
  </si>
  <si>
    <t xml:space="preserve">McGlathery</t>
  </si>
  <si>
    <t xml:space="preserve">kjm4k@virginia.edu</t>
  </si>
  <si>
    <t xml:space="preserve">UVA Environmental Sciences / Environmental Institute</t>
  </si>
  <si>
    <t xml:space="preserve">Current UVA A&amp;S listing: Sherrell J. Aston Professor and Director of the UVA Environmental Institute.</t>
  </si>
  <si>
    <t xml:space="preserve">https://www.as.virginia.edu/listing/karen-mcglathery</t>
  </si>
  <si>
    <t xml:space="preserve">Mcgowan</t>
  </si>
  <si>
    <t xml:space="preserve">Emily</t>
  </si>
  <si>
    <t xml:space="preserve">UVA Health Asthma, Allergy &amp; Immunology</t>
  </si>
  <si>
    <t xml:space="preserve">Current med.virginia.edu and uvahealth.com provider profiles list her as Associate Professor.</t>
  </si>
  <si>
    <t xml:space="preserve">https://med.virginia.edu/asthma-allergy-immunology/emily-c-mcgowan-md-phd/</t>
  </si>
  <si>
    <t xml:space="preserve">Mcintyre</t>
  </si>
  <si>
    <t xml:space="preserve">Search found no Daniel McIntyre linked to UVA.</t>
  </si>
  <si>
    <t xml:space="preserve">Mcmanus</t>
  </si>
  <si>
    <t xml:space="preserve">UVA Dept of Medicine, Infectious Diseases (as of 2023)</t>
  </si>
  <si>
    <t xml:space="preserve">UVA Health news from 2023 lists her as an ID assistant professor; no 2025-26 evidence found.</t>
  </si>
  <si>
    <t xml:space="preserve">https://news.med.virginia.edu/newsletter/6-22-23-issue/</t>
  </si>
  <si>
    <t xml:space="preserve">Mcnamara</t>
  </si>
  <si>
    <t xml:space="preserve">Coleen</t>
  </si>
  <si>
    <t xml:space="preserve">UVA Dept of Medicine, Cardiovascular / Carter Immunology Center</t>
  </si>
  <si>
    <t xml:space="preserve">June 2025 UVA news reports her Thomas Jefferson Award as Carter Center director.</t>
  </si>
  <si>
    <t xml:space="preserve">https://med.virginia.edu/bims/?p=4866</t>
  </si>
  <si>
    <t xml:space="preserve">Mcnutt</t>
  </si>
  <si>
    <t xml:space="preserve">Wake Forest University School of Medicine</t>
  </si>
  <si>
    <t xml:space="preserve">Botulinum researcher with a Wake Forest faculty profile; likely a non-UVA multi-PI.</t>
  </si>
  <si>
    <t xml:space="preserve">https://profiles.wakehealth.edu/profile/19226798/198/86477</t>
  </si>
  <si>
    <t xml:space="preserve">Medrano</t>
  </si>
  <si>
    <t xml:space="preserve">Two searches found no Silvia Medrano at UVA.</t>
  </si>
  <si>
    <t xml:space="preserve">Mende-Siedlecki</t>
  </si>
  <si>
    <t xml:space="preserve">unknown (likely University of Delaware, unverified)</t>
  </si>
  <si>
    <t xml:space="preserve">Searches returned nothing; background knowledge says Univ. of Delaware psychology, unconfirmed.</t>
  </si>
  <si>
    <t xml:space="preserve">Meng</t>
  </si>
  <si>
    <t xml:space="preserve">Yu</t>
  </si>
  <si>
    <t xml:space="preserve">yumeng5@virginia.edu</t>
  </si>
  <si>
    <t xml:space="preserve">Current UVA Engineering faculty profile lists him as CS assistant professor.</t>
  </si>
  <si>
    <t xml:space="preserve">https://engineering.virginia.edu/faculty/yu-meng</t>
  </si>
  <si>
    <t xml:space="preserve">Meyer</t>
  </si>
  <si>
    <t xml:space="preserve">Craig</t>
  </si>
  <si>
    <t xml:space="preserve">UVA Depts of Biomedical Engineering and Radiology</t>
  </si>
  <si>
    <t xml:space="preserve">Current UVA Engineering faculty profile and NAI news.</t>
  </si>
  <si>
    <t xml:space="preserve">https://engineering.virginia.edu/faculty/craig-h-meyer</t>
  </si>
  <si>
    <t xml:space="preserve">Miller</t>
  </si>
  <si>
    <t xml:space="preserve">Clint</t>
  </si>
  <si>
    <t xml:space="preserve">UVA Dept of Genome Sciences</t>
  </si>
  <si>
    <t xml:space="preserve">UVA faculty profile lists him as associate professor; April 2025 webinar talk.</t>
  </si>
  <si>
    <t xml:space="preserve">https://engineering.virginia.edu/faculty/clint-miller</t>
  </si>
  <si>
    <t xml:space="preserve">G.</t>
  </si>
  <si>
    <t xml:space="preserve">Likely UVA (G. Wilson Miller, radiology/imaging)</t>
  </si>
  <si>
    <t xml:space="preserve">Initials only; a G. Wilson Miller holds an FY2026 NIH award at UVA (third-party aggregator), but no UVA profile turned up.</t>
  </si>
  <si>
    <t xml:space="preserve">https://conductscience.com/sciencedex/investigators/g-wilson-miller</t>
  </si>
  <si>
    <t xml:space="preserve">lsimkins@virginia.edu</t>
  </si>
  <si>
    <t xml:space="preserve">Lauren Miller (Simkins) is listed in the UVA Environment expert directory as Associate Professor of Environmental Sciences; her email matches.</t>
  </si>
  <si>
    <t xml:space="preserve">https://environment.virginia.edu/expert/lauren-miller</t>
  </si>
  <si>
    <t xml:space="preserve">Mirkovic</t>
  </si>
  <si>
    <t xml:space="preserve">Jelena</t>
  </si>
  <si>
    <t xml:space="preserve">mirkovic@isi.edu</t>
  </si>
  <si>
    <t xml:space="preserve">isi.edu</t>
  </si>
  <si>
    <t xml:space="preserve">Misra</t>
  </si>
  <si>
    <t xml:space="preserve">Madhusmita</t>
  </si>
  <si>
    <t xml:space="preserve">UVA Dept of Pediatrics (as of 2024)</t>
  </si>
  <si>
    <t xml:space="preserve">Jan 2024 UVA news reports her appointment as Pediatrics chair; no 2025-26 evidence found.</t>
  </si>
  <si>
    <t xml:space="preserve">https://news.med.virginia.edu/author/jta6nvirginia-edu/page/35</t>
  </si>
  <si>
    <t xml:space="preserve">Mitchell</t>
  </si>
  <si>
    <t xml:space="preserve">Emma</t>
  </si>
  <si>
    <t xml:space="preserve">Listed in the UVA Nursing faculty directory; inducted as AAN Fellow in 2025.</t>
  </si>
  <si>
    <t xml:space="preserve">https://nursing.virginia.edu/news/windy-alonso-kim-elgin-emma-mitchell-faans-2025/</t>
  </si>
  <si>
    <t xml:space="preserve">Modjaz</t>
  </si>
  <si>
    <t xml:space="preserve">Maryam</t>
  </si>
  <si>
    <t xml:space="preserve">mmodjaz@virginia.edu</t>
  </si>
  <si>
    <t xml:space="preserve">UVA astronomy faculty page lists her as professor; she moved from NYU in 2022.</t>
  </si>
  <si>
    <t xml:space="preserve">https://astronomy.as.virginia.edu/node/2136</t>
  </si>
  <si>
    <t xml:space="preserve">Mohamed</t>
  </si>
  <si>
    <t xml:space="preserve">Shazrene</t>
  </si>
  <si>
    <t xml:space="preserve">shazrene@virginia.edu</t>
  </si>
  <si>
    <t xml:space="preserve">UVA Astronomy</t>
  </si>
  <si>
    <t xml:space="preserve">Current UVA faculty profile lists her as Associate Professor of Astronomy and graduate Director of Admissions.</t>
  </si>
  <si>
    <t xml:space="preserve">https://as.virginia.edu/faculty-profile/shazrene-mohamed</t>
  </si>
  <si>
    <t xml:space="preserve">Mohi</t>
  </si>
  <si>
    <t xml:space="preserve">Golam</t>
  </si>
  <si>
    <t xml:space="preserve">UVA SOM Biochemistry &amp; Molecular Genetics</t>
  </si>
  <si>
    <t xml:space="preserve">Runs the Mohi Lab at UVA BMG; UVA news reports a 2025 NIH R01 award.</t>
  </si>
  <si>
    <t xml:space="preserve">https://med.virginia.edu/bmg/research/mohi-lab/lab-members/</t>
  </si>
  <si>
    <t xml:space="preserve">Moon</t>
  </si>
  <si>
    <t xml:space="preserve">UVA SOM Pediatrics (likely)</t>
  </si>
  <si>
    <t xml:space="preserve">Described as Harrison Distinguished Professor and division head of general pediatrics at UVA, but the results surfaced no dated 2025+ UVA profile.</t>
  </si>
  <si>
    <t xml:space="preserve">https://news.med.virginia.edu/kidsmatter/welcome-to-the-team-dr-rachel-moon/</t>
  </si>
  <si>
    <t xml:space="preserve">Moore</t>
  </si>
  <si>
    <t xml:space="preserve">UVA SOM Infectious Diseases &amp; International Health</t>
  </si>
  <si>
    <t xml:space="preserve">Christopher C. Moore has a current med.virginia.edu faculty listing; his sepsis/TB work in Africa fits the NIH grant.</t>
  </si>
  <si>
    <t xml:space="preserve">https://med.virginia.edu/faculty/faculty-listing/ccm5u/</t>
  </si>
  <si>
    <t xml:space="preserve">Morrison</t>
  </si>
  <si>
    <t xml:space="preserve">Briana</t>
  </si>
  <si>
    <t xml:space="preserve">wxt4gm@virginia.edu</t>
  </si>
  <si>
    <t xml:space="preserve">Current UVA Engineering faculty page lists her as Associate Professor of CS; she is active at 2025 conferences.</t>
  </si>
  <si>
    <t xml:space="preserve">https://engineering.virginia.edu/faculty/briana-morrison</t>
  </si>
  <si>
    <t xml:space="preserve">Morse</t>
  </si>
  <si>
    <t xml:space="preserve">morsej@virginia.edu</t>
  </si>
  <si>
    <t xml:space="preserve">UVA news reports her as a UVA professor invited to speak at ICM 2026.</t>
  </si>
  <si>
    <t xml:space="preserve">https://as.virginia.edu/mathematician-jennifer-morse-selected-speak-worlds-most-prestigious-math-conference</t>
  </si>
  <si>
    <t xml:space="preserve">Moscoso-Vásquez</t>
  </si>
  <si>
    <t xml:space="preserve">Marcela</t>
  </si>
  <si>
    <t xml:space="preserve">The search returned nothing on this name; it may be a UVA Center for Diabetes Technology researcher.</t>
  </si>
  <si>
    <t xml:space="preserve">Moskaluk</t>
  </si>
  <si>
    <t xml:space="preserve">UVA SOM Pathology</t>
  </si>
  <si>
    <t xml:space="preserve">UVA Pathology site lists him as Department Chair and Walter Reed Professor of Pathology.</t>
  </si>
  <si>
    <t xml:space="preserve">https://med.virginia.edu/faculty/faculty-listing/cam5p/</t>
  </si>
  <si>
    <t xml:space="preserve">Mpagama</t>
  </si>
  <si>
    <t xml:space="preserve">Stellah</t>
  </si>
  <si>
    <t xml:space="preserve">Kibong'oto Infectious Diseases Hospital, Tanzania</t>
  </si>
  <si>
    <t xml:space="preserve">Scientific director at Kibong'oto Hospital in Tanzania; she is a UVA collaborator (Heysell), not UVA staff.</t>
  </si>
  <si>
    <t xml:space="preserve">https://www.global-health-edctp3.europa.eu/results-and-insights/global-health-leaders/stellah-mpagama_en</t>
  </si>
  <si>
    <t xml:space="preserve">Muehling</t>
  </si>
  <si>
    <t xml:space="preserve">Lyndsey</t>
  </si>
  <si>
    <t xml:space="preserve">UVA SOM Asthma, Allergy &amp; Clinical Immunology (Woodfolk lab)</t>
  </si>
  <si>
    <t xml:space="preserve">UVA PhD (2018); a May 2025 UVA division update credits her work in the Woodfolk lab.</t>
  </si>
  <si>
    <t xml:space="preserve">https://news.med.virginia.edu/medicinematters/?p=25486</t>
  </si>
  <si>
    <t xml:space="preserve">Mugler</t>
  </si>
  <si>
    <t xml:space="preserve">UVA Radiology &amp; Medical Imaging / BME</t>
  </si>
  <si>
    <t xml:space="preserve">Current UVA radiology research profile lists him as Director of Medical Imaging Research and professor.</t>
  </si>
  <si>
    <t xml:space="preserve">https://med.virginia.edu/radiology-research/john-mugler</t>
  </si>
  <si>
    <t xml:space="preserve">Mumba</t>
  </si>
  <si>
    <t xml:space="preserve">Frackson</t>
  </si>
  <si>
    <t xml:space="preserve">mumba@virginia.edu</t>
  </si>
  <si>
    <t xml:space="preserve">Associate professor of science education at UVA per a 2023 Fulbright story and CV; no 2025+ confirmation, though he has a virginia.edu email.</t>
  </si>
  <si>
    <t xml:space="preserve">https://news.virginia.edu/node/360841</t>
  </si>
  <si>
    <t xml:space="preserve">Munger</t>
  </si>
  <si>
    <t xml:space="preserve">UVA Otolaryngology (likely)</t>
  </si>
  <si>
    <t xml:space="preserve">Professor and co-director of research in UVA Otolaryngology, from a 2024 grant announcement and a Dec 2024 profile; no 2025+ evidence.</t>
  </si>
  <si>
    <t xml:space="preserve">https://news.med.virginia.edu/?p=35857</t>
  </si>
  <si>
    <t xml:space="preserve">Naegle</t>
  </si>
  <si>
    <t xml:space="preserve">Kristen</t>
  </si>
  <si>
    <t xml:space="preserve">Current UVA Engineering faculty directory and lab page list her as BME faculty.</t>
  </si>
  <si>
    <t xml:space="preserve">https://engineering.virginia.edu/labs-groups/naegle-research-lab/team</t>
  </si>
  <si>
    <t xml:space="preserve">Narayanan</t>
  </si>
  <si>
    <t xml:space="preserve">Vijaykrishnan</t>
  </si>
  <si>
    <t xml:space="preserve">vnarayanan67@gatech.edu</t>
  </si>
  <si>
    <t xml:space="preserve">gatech.edu</t>
  </si>
  <si>
    <t xml:space="preserve">Newman</t>
  </si>
  <si>
    <t xml:space="preserve">Profiled as a UVA SOM Assistant Professor in the Jan 2025 Research in Motion feature (inflammation, mitochondria).</t>
  </si>
  <si>
    <t xml:space="preserve">https://news.med.virginia.edu/newsletter/1-9-25-issue/</t>
  </si>
  <si>
    <t xml:space="preserve">Nichols</t>
  </si>
  <si>
    <t xml:space="preserve">dn2ep@virginia.edu</t>
  </si>
  <si>
    <t xml:space="preserve">UVA Physics/Astronomy</t>
  </si>
  <si>
    <t xml:space="preserve">UVA A&amp;S news on NSF CAREER award; VCU Sept 2026 seminar lists him at UVA Dept of Astronomy; Dec 2025 UVA postdoc ad.</t>
  </si>
  <si>
    <t xml:space="preserve">https://as.virginia.edu/news/uvas-david-nichols-wins-nsf-career-award-gravitational-wave-research</t>
  </si>
  <si>
    <t xml:space="preserve">Nikolich</t>
  </si>
  <si>
    <t xml:space="preserve">Anita</t>
  </si>
  <si>
    <t xml:space="preserve">anitan@illinois.edu</t>
  </si>
  <si>
    <t xml:space="preserve">illinois.edu</t>
  </si>
  <si>
    <t xml:space="preserve">Niu</t>
  </si>
  <si>
    <t xml:space="preserve">Wei</t>
  </si>
  <si>
    <t xml:space="preserve">wniu2@unl.edu</t>
  </si>
  <si>
    <t xml:space="preserve">unl.edu</t>
  </si>
  <si>
    <t xml:space="preserve">Noth</t>
  </si>
  <si>
    <t xml:space="preserve">Imre</t>
  </si>
  <si>
    <t xml:space="preserve">UVA School of Medicine, Pulmonary &amp; Critical Care</t>
  </si>
  <si>
    <t xml:space="preserve">Division chief message dated March 2025 on UVA Medicine Matters; current UVA faculty profile.</t>
  </si>
  <si>
    <t xml:space="preserve">https://news.med.virginia.edu/medicinematters/?p=23753</t>
  </si>
  <si>
    <t xml:space="preserve">O'Rourke</t>
  </si>
  <si>
    <t xml:space="preserve">Eyleen</t>
  </si>
  <si>
    <t xml:space="preserve">UVA (as of 2023)</t>
  </si>
  <si>
    <t xml:space="preserve">Only a March 2023 UVA Health news item found; no 2025-2026 evidence.</t>
  </si>
  <si>
    <t xml:space="preserve">https://news.med.virginia.edu/news/page/275</t>
  </si>
  <si>
    <t xml:space="preserve">Oduor</t>
  </si>
  <si>
    <t xml:space="preserve">Chrispine</t>
  </si>
  <si>
    <t xml:space="preserve">No result linking Chrispine Oduor to UVA; likely a collaborator elsewhere (e.g., Kenya) but unverified.</t>
  </si>
  <si>
    <t xml:space="preserve">Okusa</t>
  </si>
  <si>
    <t xml:space="preserve">Current UVA faculty and UVA Health provider pages list him as Chief, Division of Nephrology.</t>
  </si>
  <si>
    <t xml:space="preserve">https://med.virginia.edu/faculty/faculty-listing/mdo7y/</t>
  </si>
  <si>
    <t xml:space="preserve">Onengut</t>
  </si>
  <si>
    <t xml:space="preserve">Suna</t>
  </si>
  <si>
    <t xml:space="preserve">UVA Public Health Sciences / CPHG (as of 2024)</t>
  </si>
  <si>
    <t xml:space="preserve">Feb 2024 UVA page lists Suna Onengut-Gumuscu as associate professor; no 2025-2026 evidence found.</t>
  </si>
  <si>
    <t xml:space="preserve">https://med.virginia.edu/cphg/tag/aakrosh-ratan</t>
  </si>
  <si>
    <t xml:space="preserve">Ono</t>
  </si>
  <si>
    <t xml:space="preserve">Ken</t>
  </si>
  <si>
    <t xml:space="preserve">ken.ono691@virginia.edu</t>
  </si>
  <si>
    <t xml:space="preserve">Axiom Math (Palo Alto), on extended leave from UVA</t>
  </si>
  <si>
    <t xml:space="preserve">On extended leave from UVA; working at Axiom Math (Palo Alto) since 2025.</t>
  </si>
  <si>
    <t xml:space="preserve">https://engineering.virginia.edu/faculty/ken-ono</t>
  </si>
  <si>
    <t xml:space="preserve">Orebaugh</t>
  </si>
  <si>
    <t xml:space="preserve">Angela</t>
  </si>
  <si>
    <t xml:space="preserve">ado4v@virginia.edu</t>
  </si>
  <si>
    <t xml:space="preserve">Search found no UVA page for Angela Orebaugh despite virginia.edu email on grant.</t>
  </si>
  <si>
    <t xml:space="preserve">Oser</t>
  </si>
  <si>
    <t xml:space="preserve">Tamara</t>
  </si>
  <si>
    <t xml:space="preserve">University of Colorado School of Medicine (Family Medicine)</t>
  </si>
  <si>
    <t xml:space="preserve">CU Anschutz directory lists her as Associate Professor and Director of High Plains Research Network.</t>
  </si>
  <si>
    <t xml:space="preserve">https://accords.cuanschutz.edu/about/faculty-staff-directory/Oser-Tamara-UCD6002912755</t>
  </si>
  <si>
    <t xml:space="preserve">Owens</t>
  </si>
  <si>
    <t xml:space="preserve">UVA Robert M. Berne Cardiovascular Research Center</t>
  </si>
  <si>
    <t xml:space="preserve">CVRC Director Gary Owens presented the 2026 Berne Lecture per UVA CVRC site.</t>
  </si>
  <si>
    <t xml:space="preserve">https://www.cvrc.virginia.edu/?p=6368</t>
  </si>
  <si>
    <t xml:space="preserve">Pace</t>
  </si>
  <si>
    <t xml:space="preserve">pacem@virginia.edu</t>
  </si>
  <si>
    <t xml:space="preserve">UVA Environmental Sciences, emeritus</t>
  </si>
  <si>
    <t xml:space="preserve">His March 2026 CV lists him as emeritus (dept page may be outdated).</t>
  </si>
  <si>
    <t xml:space="preserve">https://evsc.as.virginia.edu/system/files/Michael-Pace_CV_2026.pdf</t>
  </si>
  <si>
    <t xml:space="preserve">Pani</t>
  </si>
  <si>
    <t xml:space="preserve">Ariel</t>
  </si>
  <si>
    <t xml:space="preserve">Two searches found no UVA page for Ariel Pani.</t>
  </si>
  <si>
    <t xml:space="preserve">Pannuto</t>
  </si>
  <si>
    <t xml:space="preserve">ppannuto@eng.ucsd.edu</t>
  </si>
  <si>
    <t xml:space="preserve">eng.ucsd.edu</t>
  </si>
  <si>
    <t xml:space="preserve">Paolucci</t>
  </si>
  <si>
    <t xml:space="preserve">Chris</t>
  </si>
  <si>
    <t xml:space="preserve">cp9wx@virginia.edu</t>
  </si>
  <si>
    <t xml:space="preserve">Search found no UVA page for Chris Paolucci despite virginia.edu email on grant.</t>
  </si>
  <si>
    <t xml:space="preserve">Papin</t>
  </si>
  <si>
    <t xml:space="preserve">Current UVA Engineering faculty profile lists him as professor of BME.</t>
  </si>
  <si>
    <t xml:space="preserve">https://engineering.virginia.edu/faculty/jason-papin</t>
  </si>
  <si>
    <t xml:space="preserve">Paredes Olortegui</t>
  </si>
  <si>
    <t xml:space="preserve">Maribel</t>
  </si>
  <si>
    <t xml:space="preserve">No results found; likely a Peru-based collaborator but unverified.</t>
  </si>
  <si>
    <t xml:space="preserve">Parichy</t>
  </si>
  <si>
    <t xml:space="preserve">Current UVA faculty listing shows Professor of Biology; active lab postings.</t>
  </si>
  <si>
    <t xml:space="preserve">https://med.virginia.edu/faculty/faculty-listing/dmp6n/</t>
  </si>
  <si>
    <t xml:space="preserve">Park</t>
  </si>
  <si>
    <t xml:space="preserve">Ki Ho</t>
  </si>
  <si>
    <t xml:space="preserve">UVA School of Medicine, Department of Surgery</t>
  </si>
  <si>
    <t xml:space="preserve">UVA SOM faculty listing shows Ki Ho Park as assistant professor of Surgery (listing undated).</t>
  </si>
  <si>
    <t xml:space="preserve">https://med.virginia.edu/faculty/faculty-listing/uuh2qa/</t>
  </si>
  <si>
    <t xml:space="preserve">Parker</t>
  </si>
  <si>
    <t xml:space="preserve">No Margaret Parker found at UVA; likely co-lead elsewhere but unverified.</t>
  </si>
  <si>
    <t xml:space="preserve">Paschal</t>
  </si>
  <si>
    <t xml:space="preserve">Bryce</t>
  </si>
  <si>
    <t xml:space="preserve">UVA (tenure-line faculty)</t>
  </si>
  <si>
    <t xml:space="preserve">Public payroll aggregator shows 2026 UVA tenure-line faculty record; no official profile found in search.</t>
  </si>
  <si>
    <t xml:space="preserve">https://openpayrolls.com/employee/bryce-paschal-4164</t>
  </si>
  <si>
    <t xml:space="preserve">Patel</t>
  </si>
  <si>
    <t xml:space="preserve">Common name; search returned no specific Amit Patel UVA profile.</t>
  </si>
  <si>
    <t xml:space="preserve">Manoj</t>
  </si>
  <si>
    <t xml:space="preserve">Search found no UVA anesthesiology page for Manoj Patel.</t>
  </si>
  <si>
    <t xml:space="preserve">Paudel</t>
  </si>
  <si>
    <t xml:space="preserve">B. Bishal</t>
  </si>
  <si>
    <t xml:space="preserve">UVA BME postdoc (as of 2022)</t>
  </si>
  <si>
    <t xml:space="preserve">Only a 2022 UVA SASCO lab member page listing him as BME postdoc.</t>
  </si>
  <si>
    <t xml:space="preserve">https://sasco.virginia.edu/lab-member/bishal-paudel/</t>
  </si>
  <si>
    <t xml:space="preserve">Payne</t>
  </si>
  <si>
    <t xml:space="preserve">UVA faculty listing: Professor and Vice Chair of Research; joined from Johns Hopkins in 2021, 2024 Pinn Scholar.</t>
  </si>
  <si>
    <t xml:space="preserve">https://med.virginia.edu/faculty/?p=1730993</t>
  </si>
  <si>
    <t xml:space="preserve">Peirce-Cottler</t>
  </si>
  <si>
    <t xml:space="preserve">Shayn</t>
  </si>
  <si>
    <t xml:space="preserve">smp6p@virginia.edu</t>
  </si>
  <si>
    <t xml:space="preserve">UVA Dept of Biomedical Engineering (Chair)</t>
  </si>
  <si>
    <t xml:space="preserve">UVA news/Wikipedia: chair of UVA BME since 2022, 2024 Landis Award; no sign of departure.</t>
  </si>
  <si>
    <t xml:space="preserve">https://en.wikipedia.org/wiki/Shayn_Peirce-Cottler</t>
  </si>
  <si>
    <t xml:space="preserve">Pelphrey</t>
  </si>
  <si>
    <t xml:space="preserve">2025 UVA seminar listing names him Harrison-Wood Distinguished Professor of Neurology at UVA.</t>
  </si>
  <si>
    <t xml:space="preserve">https://www.innovation.lab.virginia.edu/all-seminar-series/v/cn2f7mjh2z27rt8frc6s66xgpx4x86</t>
  </si>
  <si>
    <t xml:space="preserve">Pemberton</t>
  </si>
  <si>
    <t xml:space="preserve">Lucy</t>
  </si>
  <si>
    <t xml:space="preserve">UVA Dept of Microbiology, Immunology and Cancer Biology</t>
  </si>
  <si>
    <t xml:space="preserve">UVA faculty profile lists her as Associate Professor and Director of Graduate Studies; Cancer Center Assoc Director for Education.</t>
  </si>
  <si>
    <t xml:space="preserve">https://med.virginia.edu/faculty/faculty-listing/lfp2n/</t>
  </si>
  <si>
    <t xml:space="preserve">Perez-Reyes</t>
  </si>
  <si>
    <t xml:space="preserve">UVA Dept of Pharmacology (unverified as current)</t>
  </si>
  <si>
    <t xml:space="preserve">Only undated/older listings (Kerafast, JoVE) place him in UVA Pharmacology; no 2025-2026 evidence found.</t>
  </si>
  <si>
    <t xml:space="preserve">https://kerafast.com/cat/687/edward-perez-reyes-phd</t>
  </si>
  <si>
    <t xml:space="preserve">Perkeybile</t>
  </si>
  <si>
    <t xml:space="preserve">UVA Dept of Psychology (likely)</t>
  </si>
  <si>
    <t xml:space="preserve">Joined UVA Psychology in 2021 from Kinsey Institute; latest UVA evidence is a 2024 paper.</t>
  </si>
  <si>
    <t xml:space="preserve">https://link.springer.com/article/10.1007/s00429-024-02832-1</t>
  </si>
  <si>
    <t xml:space="preserve">Peterson</t>
  </si>
  <si>
    <t xml:space="preserve">lmc6b@virginia.edu</t>
  </si>
  <si>
    <t xml:space="preserve">Searches found no UVA Lisa Peterson (likely Lisa Colosi Peterson, engineering) but no confirming result.</t>
  </si>
  <si>
    <t xml:space="preserve">Petri</t>
  </si>
  <si>
    <t xml:space="preserve">UVA Dept of Medicine, Infectious Diseases</t>
  </si>
  <si>
    <t xml:space="preserve">UVA med.virginia.edu profile: Wade Hampton Frost Professor of Medicine and Vice Chair for Research.</t>
  </si>
  <si>
    <t xml:space="preserve">https://med.virginia.edu/infectious-diseases/?p=4456</t>
  </si>
  <si>
    <t xml:space="preserve">Petroni</t>
  </si>
  <si>
    <t xml:space="preserve">Gina</t>
  </si>
  <si>
    <t xml:space="preserve">UVA Dept of Public Health Sciences</t>
  </si>
  <si>
    <t xml:space="preserve">UVA faculty listing gives primary appointment as Professor, Public Health Sciences.</t>
  </si>
  <si>
    <t xml:space="preserve">https://med.virginia.edu/faculty/faculty-listing/grp4c/</t>
  </si>
  <si>
    <t xml:space="preserve">Pfister</t>
  </si>
  <si>
    <t xml:space="preserve">Olivier</t>
  </si>
  <si>
    <t xml:space="preserve">opfister@virginia.edu</t>
  </si>
  <si>
    <t xml:space="preserve">UVA Dept of Physics</t>
  </si>
  <si>
    <t xml:space="preserve">Wikipedia and UVA course listings incl. Fall 2026 show him as UVA physics professor.</t>
  </si>
  <si>
    <t xml:space="preserve">https://thecourseforum.com/instructor/2251</t>
  </si>
  <si>
    <t xml:space="preserve">Pires</t>
  </si>
  <si>
    <t xml:space="preserve">Marcos</t>
  </si>
  <si>
    <t xml:space="preserve">UVA pages list him as Associate Professor of Chemistry (2023-present) and Director of Graduate Studies.</t>
  </si>
  <si>
    <t xml:space="preserve">https://graduate.as.virginia.edu/taxonomy/term/181</t>
  </si>
  <si>
    <t xml:space="preserve">Platig</t>
  </si>
  <si>
    <t xml:space="preserve">May 2025 UVA SOM news: assistant professor in Genome Sciences awarded $3.5M NHLBI grant.</t>
  </si>
  <si>
    <t xml:space="preserve">https://news.med.virginia.edu/?p=42546</t>
  </si>
  <si>
    <t xml:space="preserve">Platts-Mills</t>
  </si>
  <si>
    <t xml:space="preserve">UVA Health, Infectious Diseases</t>
  </si>
  <si>
    <t xml:space="preserve">Current UVA Health provider profile (accepting new patients); UVA SOM faculty since 2015.</t>
  </si>
  <si>
    <t xml:space="preserve">https://www.uvahealth.com/providers/JAMES-PLATTS-MILLS-1164758017</t>
  </si>
  <si>
    <t xml:space="preserve">UVA Medicine, Allergy &amp; Immunology</t>
  </si>
  <si>
    <t xml:space="preserve">UVA/UVA Health news: longtime head of the allergy division, Thomas Jefferson Award in June 2024; no sign he has left.</t>
  </si>
  <si>
    <t xml:space="preserve">https://www.news.virginia.edu/content/two-uva-doctors-known-research-and-compassion-receive-universitys-top-honor</t>
  </si>
  <si>
    <t xml:space="preserve">Pompano</t>
  </si>
  <si>
    <t xml:space="preserve">UVA Chemistry site lists her as professor and shows a 2025 seminar she hosted.</t>
  </si>
  <si>
    <t xml:space="preserve">https://chemistry.as.virginia.edu/node?page=39</t>
  </si>
  <si>
    <t xml:space="preserve">Poon</t>
  </si>
  <si>
    <t xml:space="preserve">sjp9x@virginia.edu</t>
  </si>
  <si>
    <t xml:space="preserve">UVA Physics</t>
  </si>
  <si>
    <t xml:space="preserve">William Barton Rogers Professor of Physics at UVA; course listings run through Fall 2025.</t>
  </si>
  <si>
    <t xml:space="preserve">https://thecourseforum.com/instructor/1135</t>
  </si>
  <si>
    <t xml:space="preserve">Portell</t>
  </si>
  <si>
    <t xml:space="preserve">UVA Medicine, Hematology/Oncology</t>
  </si>
  <si>
    <t xml:space="preserve">Clinical faculty in Hematology/Oncology, practicing at the Emily Couric Cancer Center / UVA Health.</t>
  </si>
  <si>
    <t xml:space="preserve">https://targetedonc.com/authors/craig-a-portell-md</t>
  </si>
  <si>
    <t xml:space="preserve">Porter</t>
  </si>
  <si>
    <t xml:space="preserve">Search found no Kathleen Porter at UVA; only unrelated people with the same name.</t>
  </si>
  <si>
    <t xml:space="preserve">mdp2u@virginia.edu</t>
  </si>
  <si>
    <t xml:space="preserve">Unknown (has virginia.edu email mdp2u)</t>
  </si>
  <si>
    <t xml:space="preserve">No UVA profile found for Michael Porter; the ChE search turned up only Marc D. Porter at Utah and unrelated namesakes.</t>
  </si>
  <si>
    <t xml:space="preserve">Portilla</t>
  </si>
  <si>
    <t xml:space="preserve">Didier</t>
  </si>
  <si>
    <t xml:space="preserve">UVA Medicine, Nephrology</t>
  </si>
  <si>
    <t xml:space="preserve">Listed in the UVA Nephrology faculty directory with an active lab page; at UVA since 2014.</t>
  </si>
  <si>
    <t xml:space="preserve">https://med.virginia.edu/nephrology/research/didier-portilla-lab</t>
  </si>
  <si>
    <t xml:space="preserve">Prakash</t>
  </si>
  <si>
    <t xml:space="preserve">B. Aditya</t>
  </si>
  <si>
    <t xml:space="preserve">Georgia Institute of Technology</t>
  </si>
  <si>
    <t xml:space="preserve">Current Georgia Tech faculty profile, formerly at Virginia Tech; no UVA appointment, so likely a Multi-PI co-lead from elsewhere.</t>
  </si>
  <si>
    <t xml:space="preserve">https://research.gatech.edu/people/b-aditya-prakash</t>
  </si>
  <si>
    <t xml:space="preserve">Price</t>
  </si>
  <si>
    <t xml:space="preserve">Richard</t>
  </si>
  <si>
    <t xml:space="preserve">UVA faculty listing: Wade Professor of BME and co-director of the Focused Ultrasound Cancer Immunotherapy Center; 2025 paper.</t>
  </si>
  <si>
    <t xml:space="preserve">https://med.virginia.edu/faculty/faculty-listing/rjp2z/</t>
  </si>
  <si>
    <t xml:space="preserve">Proctor</t>
  </si>
  <si>
    <t xml:space="preserve">Elizabeth</t>
  </si>
  <si>
    <t xml:space="preserve">Penn State Center for Healthy Aging page lists her as Associate Professor of Neurology at UVA SOM with a virginia.edu email; she was formerly at Penn State.</t>
  </si>
  <si>
    <t xml:space="preserve">https://cfha2024.vmhost.psu.edu/node/1317</t>
  </si>
  <si>
    <t xml:space="preserve">Purow</t>
  </si>
  <si>
    <t xml:space="preserve">UVA Neurology</t>
  </si>
  <si>
    <t xml:space="preserve">UVA SOM news (Feb 2023): neurology professor awarded two R01s for glioblastoma; no sign he has left.</t>
  </si>
  <si>
    <t xml:space="preserve">https://news.med.virginia.edu/?p=11649</t>
  </si>
  <si>
    <t xml:space="preserve">Qi</t>
  </si>
  <si>
    <t xml:space="preserve">Ling</t>
  </si>
  <si>
    <t xml:space="preserve">UVA Molecular Physiology &amp; Biological Physics (Chair)</t>
  </si>
  <si>
    <t xml:space="preserve">UVA faculty listing: Somlyo Professor and Chair, recruited from Michigan in 2023.</t>
  </si>
  <si>
    <t xml:space="preserve">https://med.virginia.edu/faculty/faculty-listing/xvr2hm</t>
  </si>
  <si>
    <t xml:space="preserve">Yanjun</t>
  </si>
  <si>
    <t xml:space="preserve">yq2h@virginia.edu</t>
  </si>
  <si>
    <t xml:space="preserve">UVA Engineering faculty page lists her as a tenured associate professor of CS (Batten page marks her 'Past', but that is only an adjunct listing).</t>
  </si>
  <si>
    <t xml:space="preserve">https://engineering.virginia.edu/faculty/yanjun-qi</t>
  </si>
  <si>
    <t xml:space="preserve">You</t>
  </si>
  <si>
    <t xml:space="preserve">yq2dw@virginia.edu</t>
  </si>
  <si>
    <t xml:space="preserve">Unknown (has virginia.edu email yq2dw)</t>
  </si>
  <si>
    <t xml:space="preserve">Search found no You Qi at UVA; only an unrelated Heidelberg doctoral student.</t>
  </si>
  <si>
    <t xml:space="preserve">Qian</t>
  </si>
  <si>
    <t xml:space="preserve">Kun</t>
  </si>
  <si>
    <t xml:space="preserve">xts4uh@virginia.edu</t>
  </si>
  <si>
    <t xml:space="preserve">Search found no Kun Qian at UVA; only unrelated people with the same name.</t>
  </si>
  <si>
    <t xml:space="preserve">Quigg</t>
  </si>
  <si>
    <t xml:space="preserve">UVA Neurology / UVA Health</t>
  </si>
  <si>
    <t xml:space="preserve">Current UVA Health provider profile as epilepsy neurologist and EEG lab director; also on 2026 ANA speaker page.</t>
  </si>
  <si>
    <t xml:space="preserve">https://www.uvahealth.com/providers/Mark-Quigg-1629147269</t>
  </si>
  <si>
    <t xml:space="preserve">Quigley</t>
  </si>
  <si>
    <t xml:space="preserve">mbp6pj@virginia.edu</t>
  </si>
  <si>
    <t xml:space="preserve">Search found no James Quigley at UVA; the grant email (mbp6pj) does not match the name.</t>
  </si>
  <si>
    <t xml:space="preserve">Quinn</t>
  </si>
  <si>
    <t xml:space="preserve">Theodore</t>
  </si>
  <si>
    <t xml:space="preserve">ted.quinn@wildflowerschools.org</t>
  </si>
  <si>
    <t xml:space="preserve">wildflowerschools.org</t>
  </si>
  <si>
    <t xml:space="preserve">Ramakrishnan</t>
  </si>
  <si>
    <t xml:space="preserve">Girija</t>
  </si>
  <si>
    <t xml:space="preserve">Search found no pages for Girija Ramakrishnan at UVA, only an unrelated Virginia Tech Ramakrishnan.</t>
  </si>
  <si>
    <t xml:space="preserve">Ramanadham</t>
  </si>
  <si>
    <t xml:space="preserve">Sasanka</t>
  </si>
  <si>
    <t xml:space="preserve">University of Alabama at Birmingham (likely)</t>
  </si>
  <si>
    <t xml:space="preserve">No UVA link found; possible co-lead elsewhere (UAB unverified).</t>
  </si>
  <si>
    <t xml:space="preserve">Ratan</t>
  </si>
  <si>
    <t xml:space="preserve">Aakrosh</t>
  </si>
  <si>
    <t xml:space="preserve">UVA Genome Sciences</t>
  </si>
  <si>
    <t xml:space="preserve">UVA SOM faculty listing: Associate Professor, Genome Sciences; Sept 2024 LGL leukemia grant news.</t>
  </si>
  <si>
    <t xml:space="preserve">https://med.virginia.edu/faculty/faculty-listing/ar7jq/</t>
  </si>
  <si>
    <t xml:space="preserve">Ratcliffe</t>
  </si>
  <si>
    <t xml:space="preserve">UVA Public Health Sciences, Biostatistics</t>
  </si>
  <si>
    <t xml:space="preserve">UVA PHS pages list her as Professor, Director of Biostatistics and Senior Vice Chair for Research.</t>
  </si>
  <si>
    <t xml:space="preserve">https://med.virginia.edu/advanced-medical-analytics/our-people/sarah-ratcliffe-phd/</t>
  </si>
  <si>
    <t xml:space="preserve">Ray</t>
  </si>
  <si>
    <t xml:space="preserve">Patricio</t>
  </si>
  <si>
    <t xml:space="preserve">University of Virginia, Dept. of Pediatrics</t>
  </si>
  <si>
    <t xml:space="preserve">UVA Pediatrics job postings (AAMC) recruit a lab specialist to support Dr. Patricio Ray's research; postings undated.</t>
  </si>
  <si>
    <t xml:space="preserve">https://careerconnect.aamc.org/job/laboratory-specialist-senior-staff-wage/85770962/</t>
  </si>
  <si>
    <t xml:space="preserve">Redemann</t>
  </si>
  <si>
    <t xml:space="preserve">Stefanie</t>
  </si>
  <si>
    <t xml:space="preserve">University of Virginia School of Medicine, Physiology &amp; Biophysics</t>
  </si>
  <si>
    <t xml:space="preserve">Active Redemann Lab site on med.virginia.edu; joined UVA Physiology in 2018, no evidence of departure.</t>
  </si>
  <si>
    <t xml:space="preserve">https://med.virginia.edu/redemann-lab/?p=1374</t>
  </si>
  <si>
    <t xml:space="preserve">Reedy</t>
  </si>
  <si>
    <t xml:space="preserve">Aaron</t>
  </si>
  <si>
    <t xml:space="preserve">aaron@dataclassroom.com</t>
  </si>
  <si>
    <t xml:space="preserve">dataclassroom.com</t>
  </si>
  <si>
    <t xml:space="preserve">Reidenbach</t>
  </si>
  <si>
    <t xml:space="preserve">reidenbach@virginia.edu</t>
  </si>
  <si>
    <t xml:space="preserve">University of Virginia, Environmental Sciences (as of 2023)</t>
  </si>
  <si>
    <t xml:space="preserve">Only found a Jan 2023 UVA EVSC news item honoring Matt Reidenbach; no 2025-2026 evidence.</t>
  </si>
  <si>
    <t xml:space="preserve">https://evsc.as.virginia.edu/news/story/7206</t>
  </si>
  <si>
    <t xml:space="preserve">Reidy</t>
  </si>
  <si>
    <t xml:space="preserve">Montefiore / Albert Einstein College of Medicine (Bronx, NY)</t>
  </si>
  <si>
    <t xml:space="preserve">Kimberly J. Reidy is Chief of Pediatric Nephrology at Montefiore and faculty at Einstein; Multi-PI co-lead elsewhere.</t>
  </si>
  <si>
    <t xml:space="preserve">https://montefioreeinstein.org/profiles/1760652556/kimberly-j</t>
  </si>
  <si>
    <t xml:space="preserve">Reinke</t>
  </si>
  <si>
    <t xml:space="preserve">Petra</t>
  </si>
  <si>
    <t xml:space="preserve">pr6e@virginia.edu</t>
  </si>
  <si>
    <t xml:space="preserve">University of Virginia, Materials Science and Engineering</t>
  </si>
  <si>
    <t xml:space="preserve">Current UVA Engineering faculty page lists Petra Reinke as professor of MSE, email pr6e@virginia.edu.</t>
  </si>
  <si>
    <t xml:space="preserve">https://engineering.virginia.edu/faculty/petra-reinke</t>
  </si>
  <si>
    <t xml:space="preserve">Ribic</t>
  </si>
  <si>
    <t xml:space="preserve">Adema</t>
  </si>
  <si>
    <t xml:space="preserve">University of Virginia, Psychology/Neuroscience</t>
  </si>
  <si>
    <t xml:space="preserve">UVA SOM faculty listing and Ribic NeuroLab (Gilmer Hall) show her as Assistant Professor of Neuroscience at UVA.</t>
  </si>
  <si>
    <t xml:space="preserve">https://med.virginia.edu/faculty/faculty-listing/ar5pt/</t>
  </si>
  <si>
    <t xml:space="preserve">Rich</t>
  </si>
  <si>
    <t xml:space="preserve">University of Virginia School of Medicine, Center for Public Health Genomics</t>
  </si>
  <si>
    <t xml:space="preserve">UVA faculty listing shows Stephen S. Rich, Harrison Professor of Public Health Sciences (director emeritus of CPHG).</t>
  </si>
  <si>
    <t xml:space="preserve">https://med.virginia.edu/faculty/faculty-listing/ssr4n/</t>
  </si>
  <si>
    <t xml:space="preserve">Ritterband</t>
  </si>
  <si>
    <t xml:space="preserve">University of Virginia School of Medicine, Psychiatry &amp; Neurobehavioral Sciences</t>
  </si>
  <si>
    <t xml:space="preserve">UVA faculty listing shows Ritterband as professor and director of the Center for Behavioral Health and Technology.</t>
  </si>
  <si>
    <t xml:space="preserve">https://med.virginia.edu/faculty/faculty-listing/lr5b/</t>
  </si>
  <si>
    <t xml:space="preserve">Roberson-Nay</t>
  </si>
  <si>
    <t xml:space="preserve">Roxann</t>
  </si>
  <si>
    <t xml:space="preserve">UVA SOM faculty listing shows Roberson-Nay as Professor of Psychiatry; earlier career at VCU (through at least 2019).</t>
  </si>
  <si>
    <t xml:space="preserve">https://med.virginia.edu/faculty/faculty-listing/kac8uu</t>
  </si>
  <si>
    <t xml:space="preserve">Rodriguez Lozano</t>
  </si>
  <si>
    <t xml:space="preserve">Patricia</t>
  </si>
  <si>
    <t xml:space="preserve">UVA Health, Cardiology (per undated AHA article)</t>
  </si>
  <si>
    <t xml:space="preserve">AHA Eastern States article describes her leading UVA's Women's Heart Care Program; undated, no UVA-domain profile found.</t>
  </si>
  <si>
    <t xml:space="preserve">https://easternstates.heart.org/?p=18400</t>
  </si>
  <si>
    <t xml:space="preserve">Rohde</t>
  </si>
  <si>
    <t xml:space="preserve">Gustavo</t>
  </si>
  <si>
    <t xml:space="preserve">University of Virginia, Biomedical Engineering / ECE</t>
  </si>
  <si>
    <t xml:space="preserve">UVA SOM faculty listing shows Rohde as Professor of BME; elected AIMBE Fellow in 2025 as UVA faculty.</t>
  </si>
  <si>
    <t xml:space="preserve">https://med.virginia.edu/faculty/faculty-listing/gr2z/</t>
  </si>
  <si>
    <t xml:space="preserve">Rolf</t>
  </si>
  <si>
    <t xml:space="preserve">jsr2pz@virginia.edu</t>
  </si>
  <si>
    <t xml:space="preserve">University of Virginia, Mathematics (as of 2018)</t>
  </si>
  <si>
    <t xml:space="preserve">2018 UVA Math Bulletin reports hiring James Rolf for calculus reform; no 2025-2026 evidence found.</t>
  </si>
  <si>
    <t xml:space="preserve">https://math.virginia.edu/2018/12/bulletin/</t>
  </si>
  <si>
    <t xml:space="preserve">Ronfeldt</t>
  </si>
  <si>
    <t xml:space="preserve">ronfeldt@umich.edu</t>
  </si>
  <si>
    <t xml:space="preserve">Rosenthal</t>
  </si>
  <si>
    <t xml:space="preserve">No UVA-linked Eric Rosenthal found; results show others (e.g., Eric S. Rosenthal at Mass General), likely a Multi-PI elsewhere.</t>
  </si>
  <si>
    <t xml:space="preserve">https://www.massgeneral.org/vascular-center/doctors/18529/eric-rosenthal</t>
  </si>
  <si>
    <t xml:space="preserve">Rosner</t>
  </si>
  <si>
    <t xml:space="preserve">UVA Health / University of Virginia School of Medicine, Nephrology</t>
  </si>
  <si>
    <t xml:space="preserve">Current uvahealth.com provider profile for Mitchell H. Rosner, MD; leads UVA Health as EVP for health affairs.</t>
  </si>
  <si>
    <t xml:space="preserve">https://uvahealth.com/providers/Mitchell-Rosner-1164591707</t>
  </si>
  <si>
    <t xml:space="preserve">Ross</t>
  </si>
  <si>
    <t xml:space="preserve">Kathryn</t>
  </si>
  <si>
    <t xml:space="preserve">University of Florida, Clinical and Health Psychology</t>
  </si>
  <si>
    <t xml:space="preserve">Kathryn M. Ross is Associate Professor &amp; Associate Chair for Research at UF; no UVA link found (Multi-PI co-lead elsewhere).</t>
  </si>
  <si>
    <t xml:space="preserve">https://cicmd.center.ufl.edu/profile/ross-kathryn/</t>
  </si>
  <si>
    <t xml:space="preserve">Ruiz</t>
  </si>
  <si>
    <t xml:space="preserve">Fernando</t>
  </si>
  <si>
    <t xml:space="preserve">Two searches found no Fernando Ruiz linked to UVA; common name.</t>
  </si>
  <si>
    <t xml:space="preserve">Russell</t>
  </si>
  <si>
    <t xml:space="preserve">Shawn</t>
  </si>
  <si>
    <t xml:space="preserve">sdr2n@virginia.edu</t>
  </si>
  <si>
    <t xml:space="preserve">University of Virginia, Orthopaedic Surgery/Engineering (as of 2018)</t>
  </si>
  <si>
    <t xml:space="preserve">Only a 2018 UVA Today faculty spotlight on Prof. Shawn Russell found; NSF record has virginia.edu email.</t>
  </si>
  <si>
    <t xml:space="preserve">https://news.virginia.edu/video/faculty-spotlight-professor-shawn-russell?page=12</t>
  </si>
  <si>
    <t xml:space="preserve">Rutkowski</t>
  </si>
  <si>
    <t xml:space="preserve">Melanie</t>
  </si>
  <si>
    <t xml:space="preserve">University of Virginia (as of 2019); possibly Texas A&amp;M</t>
  </si>
  <si>
    <t xml:space="preserve">UVA evidence dates to 2019, but a Rutkowski Lab page on research.tamhsc.edu (Texas A&amp;M) suggests a possible move.</t>
  </si>
  <si>
    <t xml:space="preserve">https://research.tamhsc.edu/rutkowskilab/group/about</t>
  </si>
  <si>
    <t xml:space="preserve">Santiago</t>
  </si>
  <si>
    <t xml:space="preserve">Araceli</t>
  </si>
  <si>
    <t xml:space="preserve">Two searches found no Araceli Santiago linked to UVA; only unrelated namesakes.</t>
  </si>
  <si>
    <t xml:space="preserve">Saucerman</t>
  </si>
  <si>
    <t xml:space="preserve">Current UVA Engineering faculty profile; AIMBE fellow 2023, cardiac systems biology lab.</t>
  </si>
  <si>
    <t xml:space="preserve">https://engineering.virginia.edu/faculty/jeffrey-saucerman</t>
  </si>
  <si>
    <t xml:space="preserve">Savier</t>
  </si>
  <si>
    <t xml:space="preserve">University of Michigan (Molecular &amp; Integrative Physiology)</t>
  </si>
  <si>
    <t xml:space="preserve">Former UVA Cang lab postdoc; became Assistant Professor at U Michigan Jan 2023.</t>
  </si>
  <si>
    <t xml:space="preserve">https://ion.uoregon.edu/ionsem-230502-elise-savier</t>
  </si>
  <si>
    <t xml:space="preserve">Schiro</t>
  </si>
  <si>
    <t xml:space="preserve">kschiro@virginia.edu</t>
  </si>
  <si>
    <t xml:space="preserve">No search results found for this name; has virginia.edu email on NSF grant.</t>
  </si>
  <si>
    <t xml:space="preserve">Scialla</t>
  </si>
  <si>
    <t xml:space="preserve">Sept 2025 UVA nephrology update names her director of Nephrology Clinical Research Center; UVA Health provider profile.</t>
  </si>
  <si>
    <t xml:space="preserve">https://www.uvahealth.com/providers/Julia-Scialla-1780730036</t>
  </si>
  <si>
    <t xml:space="preserve">Evan</t>
  </si>
  <si>
    <t xml:space="preserve">UVA Biomedical Engineering / nanoSTAR</t>
  </si>
  <si>
    <t xml:space="preserve">Joined UVA 2024 from Northwestern as nanoSTAR director; later UVA giving stories show him at UVA.</t>
  </si>
  <si>
    <t xml:space="preserve">https://news.med.virginia.edu/featured/evan-scott-phd-appointed-to-direct-uva-nanostar/</t>
  </si>
  <si>
    <t xml:space="preserve">Sedigh-Sarvestani</t>
  </si>
  <si>
    <t xml:space="preserve">Madineh</t>
  </si>
  <si>
    <t xml:space="preserve">Cornell University (Neurobiology and Behavior)</t>
  </si>
  <si>
    <t xml:space="preserve">Runs Sarvestani lab at Cornell; Multi-PI co-lead at another institution.</t>
  </si>
  <si>
    <t xml:space="preserve">https://www.nature.com/naturecareers/apply/12848945/research-technician-sarvestani-lab</t>
  </si>
  <si>
    <t xml:space="preserve">Sequeira</t>
  </si>
  <si>
    <t xml:space="preserve">zbp2sm@virginia.edu</t>
  </si>
  <si>
    <t xml:space="preserve">Scholars profile lists her as Assistant Professor of Psychology at UVA; virginia.edu email on grant.</t>
  </si>
  <si>
    <t xml:space="preserve">https://scholars.org/scholar/stefanie-l-sequeira</t>
  </si>
  <si>
    <t xml:space="preserve">Sequeira-Lopez</t>
  </si>
  <si>
    <t xml:space="preserve">Maria Luisa</t>
  </si>
  <si>
    <t xml:space="preserve">UVA School of Medicine, Pediatrics</t>
  </si>
  <si>
    <t xml:space="preserve">UVA Health researcher highlight: Harrison Distinguished Professor of Pediatrics, renin research; 2024 lab output.</t>
  </si>
  <si>
    <t xml:space="preserve">https://www.uvahealth.com/healthy-practice/researcher-highlight-sequeira-lopez</t>
  </si>
  <si>
    <t xml:space="preserve">Shaffer</t>
  </si>
  <si>
    <t xml:space="preserve">UVA Psychiatry and Neurobehavioral Sciences</t>
  </si>
  <si>
    <t xml:space="preserve">Current med.virginia.edu faculty listing as Associate Professor.</t>
  </si>
  <si>
    <t xml:space="preserve">https://med.virginia.edu/faculty/faculty-listing/kms8nr/</t>
  </si>
  <si>
    <t xml:space="preserve">Shafiee-Jood</t>
  </si>
  <si>
    <t xml:space="preserve">Majid</t>
  </si>
  <si>
    <t xml:space="preserve">ms2dm@virginia.edu</t>
  </si>
  <si>
    <t xml:space="preserve">UVA Engineering (Civil &amp; Environmental / Systems &amp; Information Engineering)</t>
  </si>
  <si>
    <t xml:space="preserve">UVA SIE people listing shows him as Research Assistant Professor; joined UVA in 2020; virginia.edu email on grant.</t>
  </si>
  <si>
    <t xml:space="preserve">https://engineering.virginia.edu/department/systems-and-information-engineering/people?page=3</t>
  </si>
  <si>
    <t xml:space="preserve">Sharma</t>
  </si>
  <si>
    <t xml:space="preserve">Common name; two searches found no Ajay Sharma at UVA (one namesake at Univ. of Georgia); likely Multi-PI elsewhere.</t>
  </si>
  <si>
    <t xml:space="preserve">Rahul</t>
  </si>
  <si>
    <t xml:space="preserve">UVA nephrology pages list Rahul Sharma PhD, Associate Professor; Virginia Catalyst grant; no evidence of departure.</t>
  </si>
  <si>
    <t xml:space="preserve">https://med.virginia.edu/nephrology/our-division/awards-honors-scientific-contributions/</t>
  </si>
  <si>
    <t xml:space="preserve">Shaughnessy</t>
  </si>
  <si>
    <t xml:space="preserve">mshaugh@bu.edu</t>
  </si>
  <si>
    <t xml:space="preserve">bu.edu</t>
  </si>
  <si>
    <t xml:space="preserve">Sheffield</t>
  </si>
  <si>
    <t xml:space="preserve">Nathan</t>
  </si>
  <si>
    <t xml:space="preserve">UVA School of Medicine, Genome Sciences</t>
  </si>
  <si>
    <t xml:space="preserve">April 2025 UVA Genome Sciences news on his new genomic data standard; Associate Professor at UVA.</t>
  </si>
  <si>
    <t xml:space="preserve">https://med.virginia.edu/genome-sciences/2025/04/03/new-tool-streamlines-genomic-research-accelerating-biomedical-breakthroughs/</t>
  </si>
  <si>
    <t xml:space="preserve">Shen</t>
  </si>
  <si>
    <t xml:space="preserve">Cong</t>
  </si>
  <si>
    <t xml:space="preserve">cong@virginia.edu</t>
  </si>
  <si>
    <t xml:space="preserve">Current UVA Engineering faculty page lists him as Associate Professor of ECE.</t>
  </si>
  <si>
    <t xml:space="preserve">https://engineering.virginia.edu/faculty/cong-shen</t>
  </si>
  <si>
    <t xml:space="preserve">Haiying</t>
  </si>
  <si>
    <t xml:space="preserve">hs6ms@virginia.edu</t>
  </si>
  <si>
    <t xml:space="preserve">UVA Engineering faculty profile lists her in Computer Science (latest dated item 2022 ACM honor).</t>
  </si>
  <si>
    <t xml:space="preserve">https://engineering.virginia.edu/faculty/haiying-shen</t>
  </si>
  <si>
    <t xml:space="preserve">Shepherd</t>
  </si>
  <si>
    <t xml:space="preserve">Lois</t>
  </si>
  <si>
    <t xml:space="preserve">UVA School of Medicine, Center for Health Humanities and Ethics / Law</t>
  </si>
  <si>
    <t xml:space="preserve">UVA biomedical ethics faculty page and 2024 vita show her as Wallenborn Professor at UVA.</t>
  </si>
  <si>
    <t xml:space="preserve">https://med.virginia.edu/biomedical-ethics/people/lois-shepherd/</t>
  </si>
  <si>
    <t xml:space="preserve">Northeastern University</t>
  </si>
  <si>
    <t xml:space="preserve">Max Shepherd is an assistant professor at Northeastern (engineering + rehabilitation), joined 2022; Multi-PI co-lead, not UVA.</t>
  </si>
  <si>
    <t xml:space="preserve">https://coe.northeastern.edu/people/shepherd-max</t>
  </si>
  <si>
    <t xml:space="preserve">Sherriff</t>
  </si>
  <si>
    <t xml:space="preserve">mss2x@virginia.edu</t>
  </si>
  <si>
    <t xml:space="preserve">UVA faculty page plus SIGCSE 2026 profile list him as Professor of CS at UVA.</t>
  </si>
  <si>
    <t xml:space="preserve">https://engineering.virginia.edu/faculty/mark-sherriff-0</t>
  </si>
  <si>
    <t xml:space="preserve">Sherwood</t>
  </si>
  <si>
    <t xml:space="preserve">Paula</t>
  </si>
  <si>
    <t xml:space="preserve">UVA Nursing profile and 2024 new-faculty news: moved from Pitt to UVA in 2024.</t>
  </si>
  <si>
    <t xml:space="preserve">Sheybani</t>
  </si>
  <si>
    <t xml:space="preserve">Natasha</t>
  </si>
  <si>
    <t xml:space="preserve">April 2025 news on her $5.5M DoD grant as UVA BME assistant professor; UVA lab page.</t>
  </si>
  <si>
    <t xml:space="preserve">https://www.news-medical.net/news/20250411/UVA-researcher-wins-major-grant-to-revolutionize-breast-cancer-treatment.aspx</t>
  </si>
  <si>
    <t xml:space="preserve">Sheynkman</t>
  </si>
  <si>
    <t xml:space="preserve">Gloria</t>
  </si>
  <si>
    <t xml:space="preserve">UVA Molecular Physiology and Biological Physics (as of 2024)</t>
  </si>
  <si>
    <t xml:space="preserve">Only a 2024 UVA CVRC seminar listing (as Assistant Professor, MPBP) found; no 2025-26 evidence.</t>
  </si>
  <si>
    <t xml:space="preserve">https://www.cvrc.virginia.edu/seminars/2024-03-11/</t>
  </si>
  <si>
    <t xml:space="preserve">Shi</t>
  </si>
  <si>
    <t xml:space="preserve">Yingtang</t>
  </si>
  <si>
    <t xml:space="preserve">One search found no Yingtang Shi profile anywhere; Multi-PI, may be at another institution.</t>
  </si>
  <si>
    <t xml:space="preserve">Shim</t>
  </si>
  <si>
    <t xml:space="preserve">Yun</t>
  </si>
  <si>
    <t xml:space="preserve">UVA SOM faculty listing page for Yun Shim (yss6n), updated June 2025.</t>
  </si>
  <si>
    <t xml:space="preserve">https://med.virginia.edu/faculty/faculty-listing/yss6n/yss6n-2/</t>
  </si>
  <si>
    <t xml:space="preserve">Shin</t>
  </si>
  <si>
    <t xml:space="preserve">Jung-Bum</t>
  </si>
  <si>
    <t xml:space="preserve">UVA Neuroscience primary faculty page lists him as Professor, Auditory Neurobiology.</t>
  </si>
  <si>
    <t xml:space="preserve">https://med.virginia.edu/neuroscience/faculty/primary-faculty/jung-bum-shin-ph-d/</t>
  </si>
  <si>
    <t xml:space="preserve">UVA School of Medicine, Surgery</t>
  </si>
  <si>
    <t xml:space="preserve">Feb 2025 UVA SOM research news profiles Thomas Shin, MD, PhD, bariatric surgeon-scientist.</t>
  </si>
  <si>
    <t xml:space="preserve">https://news.med.virginia.edu/category/research/page/15</t>
  </si>
  <si>
    <t xml:space="preserve">Shukla</t>
  </si>
  <si>
    <t xml:space="preserve">Nikhil</t>
  </si>
  <si>
    <t xml:space="preserve">ns6pf@virginia.edu</t>
  </si>
  <si>
    <t xml:space="preserve">UVA Electrical and Computer Engineering / MSE</t>
  </si>
  <si>
    <t xml:space="preserve">UVA Engineering pages show him as associate professor leading the Computing Hardware Research Lab.</t>
  </si>
  <si>
    <t xml:space="preserve">https://engineering.virginia.edu/labs-groups/computing-hardware-research-lab</t>
  </si>
  <si>
    <t xml:space="preserve">Sidiropoulos</t>
  </si>
  <si>
    <t xml:space="preserve">Nikolaos</t>
  </si>
  <si>
    <t xml:space="preserve">nikos@virginia.edu</t>
  </si>
  <si>
    <t xml:space="preserve">IEEE SPS profile lists him as Louis T. Rader Professor of ECE at UVA; virginia.edu email.</t>
  </si>
  <si>
    <t xml:space="preserve">https://signalprocessingsociety.org/index.php/tags/nikolaos-sidiropoulos</t>
  </si>
  <si>
    <t xml:space="preserve">Siegrist</t>
  </si>
  <si>
    <t xml:space="preserve">Mary</t>
  </si>
  <si>
    <t xml:space="preserve">Two searches found no Mary Siegrist at UVA or elsewhere; Multi-PI may be at another institution.</t>
  </si>
  <si>
    <t xml:space="preserve">University of Virginia, Department of Biology</t>
  </si>
  <si>
    <t xml:space="preserve">UVA expand.virginia.edu NRT profile lists her in the Biology Department.</t>
  </si>
  <si>
    <t xml:space="preserve">https://expand.virginia.edu/people/sarah-siegrist</t>
  </si>
  <si>
    <t xml:space="preserve">Silbergleit</t>
  </si>
  <si>
    <t xml:space="preserve">University of Michigan</t>
  </si>
  <si>
    <t xml:space="preserve">Professor of emergency medicine at the University of Michigan, SIREN network CCC PI; Multi-PI co-lead, not at UVA.</t>
  </si>
  <si>
    <t xml:space="preserve">https://www.uofmhealth.org/profile/1045/robert-silbergleit-md</t>
  </si>
  <si>
    <t xml:space="preserve">Singh</t>
  </si>
  <si>
    <t xml:space="preserve">Meenesh</t>
  </si>
  <si>
    <t xml:space="preserve">mrsingh@uic.edu</t>
  </si>
  <si>
    <t xml:space="preserve">uic.edu</t>
  </si>
  <si>
    <t xml:space="preserve">Siracusa</t>
  </si>
  <si>
    <t xml:space="preserve">Rutgers Biomedical and Health Sciences (Newark)</t>
  </si>
  <si>
    <t xml:space="preserve">Frontiers Loop profile lists Mark C. Siracusa at Rutgers; Multi-PI co-lead elsewhere.</t>
  </si>
  <si>
    <t xml:space="preserve">https://loop.frontiersin.org/people/328078</t>
  </si>
  <si>
    <t xml:space="preserve">Skadron</t>
  </si>
  <si>
    <t xml:space="preserve">skadron@cs.virginia.edu</t>
  </si>
  <si>
    <t xml:space="preserve">Harry Douglas Forsyth Professor of CS at UVA; current UVA Engineering news and CRISP pages.</t>
  </si>
  <si>
    <t xml:space="preserve">https://engineering.virginia.edu/news-events/news/uva-engineerings-skadron-elected-virginia-academy-science-engineering-and-medicine</t>
  </si>
  <si>
    <t xml:space="preserve">Slawski</t>
  </si>
  <si>
    <t xml:space="preserve">ebh3ep@virginia.edu</t>
  </si>
  <si>
    <t xml:space="preserve">University of Virginia, Department of Statistics</t>
  </si>
  <si>
    <t xml:space="preserve">UVA A&amp;S faculty profile as associate professor of statistics; teaching listed through Spring 2026.</t>
  </si>
  <si>
    <t xml:space="preserve">https://as.virginia.edu/faculty-profile/martin-slawski</t>
  </si>
  <si>
    <t xml:space="preserve">Slingluff</t>
  </si>
  <si>
    <t xml:space="preserve">UVA Health / School of Medicine, Surgery</t>
  </si>
  <si>
    <t xml:space="preserve">UVA Health provider page; May 2025 UVA Cancer Center news names him a consortium representative.</t>
  </si>
  <si>
    <t xml:space="preserve">https://uvahealth.com/providers/craig-slingluff-1477687283</t>
  </si>
  <si>
    <t xml:space="preserve">Smith</t>
  </si>
  <si>
    <t xml:space="preserve">University of Virginia School of Medicine, Biochemistry and Molecular Genetics</t>
  </si>
  <si>
    <t xml:space="preserve">Current med.virginia.edu faculty listing for Jeffrey S. Smith, Professor of BMG (yeast silencing/aging).</t>
  </si>
  <si>
    <t xml:space="preserve">https://med.virginia.edu/faculty/faculty-listing/jss5y/</t>
  </si>
  <si>
    <t xml:space="preserve">Lora</t>
  </si>
  <si>
    <t xml:space="preserve">Search found no Lora Smith at UVA, only similarly named people elsewhere.</t>
  </si>
  <si>
    <t xml:space="preserve">possibly UVA Health Infectious Diseases</t>
  </si>
  <si>
    <t xml:space="preserve">Only a Healthline listing for a Dr. Scott Smith at UVA Health Infectious Diseases Clinic; common name, unverified.</t>
  </si>
  <si>
    <t xml:space="preserve">https://care.healthline.com/find-care/provider/dr-scott-smith-1538216346</t>
  </si>
  <si>
    <t xml:space="preserve">Soffa</t>
  </si>
  <si>
    <t xml:space="preserve">soffa@cs.virginia.edu</t>
  </si>
  <si>
    <t xml:space="preserve">University of Virginia (emerita)</t>
  </si>
  <si>
    <t xml:space="preserve">UVA Engineering faculty page lists her as Owen R. Cheatham Professor of Sciences Emerita; retired.</t>
  </si>
  <si>
    <t xml:space="preserve">https://www.engineering.virginia.edu/faculty/mary-lou-soffa</t>
  </si>
  <si>
    <t xml:space="preserve">Soland</t>
  </si>
  <si>
    <t xml:space="preserve">jgs8e@virginia.edu</t>
  </si>
  <si>
    <t xml:space="preserve">Expert directory lists him as associate professor of quantitative methods at UVA SEHD; NSF email is virginia.edu.</t>
  </si>
  <si>
    <t xml:space="preserve">https://www.newswise.com/users/expert-list-expertise/59990_Standardized+Tests</t>
  </si>
  <si>
    <t xml:space="preserve">Somerville</t>
  </si>
  <si>
    <t xml:space="preserve">Lindsay</t>
  </si>
  <si>
    <t xml:space="preserve">Two searches (pediatrics, cystic fibrosis) returned no page naming Lindsay Somerville at UVA.</t>
  </si>
  <si>
    <t xml:space="preserve">Hyun-Seob</t>
  </si>
  <si>
    <t xml:space="preserve">hsong5@unl.edu</t>
  </si>
  <si>
    <t xml:space="preserve">Sonkusare</t>
  </si>
  <si>
    <t xml:space="preserve">Swapnil</t>
  </si>
  <si>
    <t xml:space="preserve">University of Virginia School of Medicine, Molecular Physiology and Biological Physics</t>
  </si>
  <si>
    <t xml:space="preserve">Named a UVA Pinn Scholar in July 2025.</t>
  </si>
  <si>
    <t xml:space="preserve">https://med.virginia.edu/physiology-biophysics/2025/07/03/swapnil-sonkusare-appointed-as-a-pinn-scholar-congratulations/</t>
  </si>
  <si>
    <t xml:space="preserve">Sontheimer</t>
  </si>
  <si>
    <t xml:space="preserve">Harald</t>
  </si>
  <si>
    <t xml:space="preserve">University of Virginia School of Medicine, Neuroscience (Chair)</t>
  </si>
  <si>
    <t xml:space="preserve">UVA Neuroscience faculty page lists him as Professor and Chair; 2025 prize lists UVA.</t>
  </si>
  <si>
    <t xml:space="preserve">https://med.virginia.edu/neuroscience/faculty/primary-faculty/harald-sontheimer-ph-d/</t>
  </si>
  <si>
    <t xml:space="preserve">Spencer</t>
  </si>
  <si>
    <t xml:space="preserve">Brady</t>
  </si>
  <si>
    <t xml:space="preserve">University of Virginia School of Medicine, Microbiology, Immunology, and Cancer Biology</t>
  </si>
  <si>
    <t xml:space="preserve">Sept 2024 UVA SOM news reports assistant professor Brady Spencer got an NIH K22; no 2025-26 evidence found.</t>
  </si>
  <si>
    <t xml:space="preserve">https://news.med.virginia.edu/?p=32965</t>
  </si>
  <si>
    <t xml:space="preserve">Sperling</t>
  </si>
  <si>
    <t xml:space="preserve">University of Virginia School of Medicine, Pulmonary and Critical Care</t>
  </si>
  <si>
    <t xml:space="preserve">UVA pulmonary faculty page; named UVA COWIMS Honoree of the Month in June 2025.</t>
  </si>
  <si>
    <t xml:space="preserve">https://med.virginia.edu/pulmonary/bench-research/anne-i-sperling-phd</t>
  </si>
  <si>
    <t xml:space="preserve">Spiliotis</t>
  </si>
  <si>
    <t xml:space="preserve">University of Virginia School of Medicine, Cell Biology</t>
  </si>
  <si>
    <t xml:space="preserve">Joined UVA Cell Biology from Drexel in 2024; July 2025 UVA news reports a NIGMS grant.</t>
  </si>
  <si>
    <t xml:space="preserve">https://med.virginia.edu/cell-biology/2024/02/15/uva-cell-biology-welcomes-dr-elias-spiliotis/</t>
  </si>
  <si>
    <t xml:space="preserve">Stains</t>
  </si>
  <si>
    <t xml:space="preserve">Cliff</t>
  </si>
  <si>
    <t xml:space="preserve">UVA chemistry course listings through Spring 2025 and his UVA group site carries Oct 2025 lab news.</t>
  </si>
  <si>
    <t xml:space="preserve">https://uva.theopenscholar.com/cliff-stains/links-new</t>
  </si>
  <si>
    <t xml:space="preserve">Marilyne</t>
  </si>
  <si>
    <t xml:space="preserve">mstains@virginia.edu</t>
  </si>
  <si>
    <t xml:space="preserve">UVA Chemistry people page lists her as professor (joined 2019, full professor 2022).</t>
  </si>
  <si>
    <t xml:space="preserve">https://chemistry.as.dev.artscid9.virginia.edu/people/marilyne-stains</t>
  </si>
  <si>
    <t xml:space="preserve">Stan</t>
  </si>
  <si>
    <t xml:space="preserve">Mircea</t>
  </si>
  <si>
    <t xml:space="preserve">mircea@virginia.edu</t>
  </si>
  <si>
    <t xml:space="preserve">UVA ECE (likely)</t>
  </si>
  <si>
    <t xml:space="preserve">Only Math Genealogy shows UVA PhD students (2007, 2015); no current profile surfaced, though grant email is virginia.edu.</t>
  </si>
  <si>
    <t xml:space="preserve">https://mathgenealogy.org/id.php?id=133412</t>
  </si>
  <si>
    <t xml:space="preserve">Steen</t>
  </si>
  <si>
    <t xml:space="preserve">Amber</t>
  </si>
  <si>
    <t xml:space="preserve">Two searches found no Amber Steen at UVA or elsewhere.</t>
  </si>
  <si>
    <t xml:space="preserve">Stukenberg</t>
  </si>
  <si>
    <t xml:space="preserve">P. Todd</t>
  </si>
  <si>
    <t xml:space="preserve">UVA Biochemistry &amp; Molecular Genetics</t>
  </si>
  <si>
    <t xml:space="preserve">UVA SOM news from 2022-2023 shows him as professor; no 2025+ evidence found.</t>
  </si>
  <si>
    <t xml:space="preserve">https://med.virginia.edu/bmg/2023/02/02/dr-david-wotton-and-dr-todd-stukenberg-awarded-the-2022-uva-research-collaboration-award/</t>
  </si>
  <si>
    <t xml:space="preserve">Stupp</t>
  </si>
  <si>
    <t xml:space="preserve">Samuel</t>
  </si>
  <si>
    <t xml:space="preserve">Northwestern University</t>
  </si>
  <si>
    <t xml:space="preserve">Board of Trustees Professor at Northwestern; no UVA affiliation (Multi-PI co-lead elsewhere).</t>
  </si>
  <si>
    <t xml:space="preserve">https://chemistry.northwestern.edu/people/core-faculty/profiles/samuel-stupp.html</t>
  </si>
  <si>
    <t xml:space="preserve">Sturek</t>
  </si>
  <si>
    <t xml:space="preserve">UVA School of Medicine (Pulmonary/Critical Care)</t>
  </si>
  <si>
    <t xml:space="preserve">Aug 2025 UVA SOM news: associate professor, new $4M NHLBI grant.</t>
  </si>
  <si>
    <t xml:space="preserve">https://news.med.virginia.edu/?p=49304</t>
  </si>
  <si>
    <t xml:space="preserve">Sullivan</t>
  </si>
  <si>
    <t xml:space="preserve">Brynne</t>
  </si>
  <si>
    <t xml:space="preserve">UVA School of Medicine, Pediatrics/Neonatology (Center for Advanced Medical Analytics)</t>
  </si>
  <si>
    <t xml:space="preserve">UVA faculty page lists her as associate professor of pediatrics and CAMA director.</t>
  </si>
  <si>
    <t xml:space="preserve">https://med.virginia.edu/advanced-medical-analytics/our-people/brynne-sullivan-md-msc/</t>
  </si>
  <si>
    <t xml:space="preserve">Sumner</t>
  </si>
  <si>
    <t xml:space="preserve">D</t>
  </si>
  <si>
    <t xml:space="preserve">Rush University Medical Center</t>
  </si>
  <si>
    <t xml:space="preserve">Likely D. Rick Sumner, professor and chair at Rush per April 2026 CV; Multi-PI co-lead elsewhere.</t>
  </si>
  <si>
    <t xml:space="preserve">https://www.rushu.rush.edu/sites/default/files/2026-04/SumnerCV-04-2026.pdf</t>
  </si>
  <si>
    <t xml:space="preserve">Sun</t>
  </si>
  <si>
    <t xml:space="preserve">Jie</t>
  </si>
  <si>
    <t xml:space="preserve">UVA School of Medicine, Infectious Diseases / Carter Immunology Center</t>
  </si>
  <si>
    <t xml:space="preserve">UVA faculty listing and 2026 Carter Center news (NIH grant April 2026) show him at UVA.</t>
  </si>
  <si>
    <t xml:space="preserve">https://med.virginia.edu/faculty/faculty-listing/js6re/</t>
  </si>
  <si>
    <t xml:space="preserve">Shengyi</t>
  </si>
  <si>
    <t xml:space="preserve">UVA faculty listing and 2025 UVA Cancer Center news show her as associate professor of pharmacology.</t>
  </si>
  <si>
    <t xml:space="preserve">https://med.virginia.edu/cancer-research/about-us/news/news-archive-2025/cancer-center-research-faculty-welcomes-shengyi-iris-sun-phd/</t>
  </si>
  <si>
    <t xml:space="preserve">Ye</t>
  </si>
  <si>
    <t xml:space="preserve">dzv7sg@virginia.edu</t>
  </si>
  <si>
    <t xml:space="preserve">UVA Dept of Mechanical and Aerospace Engineering</t>
  </si>
  <si>
    <t xml:space="preserve">UVA engineering directory lists Ye (Sarah) Sun as associate professor in MAE.</t>
  </si>
  <si>
    <t xml:space="preserve">https://engineering.virginia.edu/faculty/s?page=3</t>
  </si>
  <si>
    <t xml:space="preserve">Yixin</t>
  </si>
  <si>
    <t xml:space="preserve">ys3kz@virginia.edu</t>
  </si>
  <si>
    <t xml:space="preserve">UVA faculty page and CV (Spring 2026 courses) show her as CS assistant professor.</t>
  </si>
  <si>
    <t xml:space="preserve">https://engineering.virginia.edu/faculty/yixin-sun</t>
  </si>
  <si>
    <t xml:space="preserve">Sutherland</t>
  </si>
  <si>
    <t xml:space="preserve">Ann</t>
  </si>
  <si>
    <t xml:space="preserve">Search found no Ann Sutherland at UVA.</t>
  </si>
  <si>
    <t xml:space="preserve">Suzuki</t>
  </si>
  <si>
    <t xml:space="preserve">Masako</t>
  </si>
  <si>
    <t xml:space="preserve">Texas A&amp;M University</t>
  </si>
  <si>
    <t xml:space="preserve">Only matching Masako Suzuki is an assistant professor at Texas A&amp;M (adjunct at Einstein); likely Multi-PI co-lead elsewhere.</t>
  </si>
  <si>
    <t xml:space="preserve">https://loop.frontiersin.org/people/1095956</t>
  </si>
  <si>
    <t xml:space="preserve">Swami</t>
  </si>
  <si>
    <t xml:space="preserve">Only an old undated Wichita State notice lists him as UVA ECE assistant professor.</t>
  </si>
  <si>
    <t xml:space="preserve">https://www.wichita.edu/about/wsunews/archive/index.php?cnid=4779</t>
  </si>
  <si>
    <t xml:space="preserve">Swenor</t>
  </si>
  <si>
    <t xml:space="preserve">Bonnielin</t>
  </si>
  <si>
    <t xml:space="preserve">Johns Hopkins University</t>
  </si>
  <si>
    <t xml:space="preserve">Director of JHU Disability Health Research Center; no UVA link (Multi-PI co-lead elsewhere).</t>
  </si>
  <si>
    <t xml:space="preserve">https://nursing.jhu.edu/faculty-research/faculty/directory/bonnielin-swenor</t>
  </si>
  <si>
    <t xml:space="preserve">Tamm</t>
  </si>
  <si>
    <t xml:space="preserve">Lukas</t>
  </si>
  <si>
    <t xml:space="preserve">UVA Molecular Physiology &amp; Biological Physics</t>
  </si>
  <si>
    <t xml:space="preserve">UVA SOM faculty listing: Harrison Professor, Director of Center for Membrane and Cell Physiology.</t>
  </si>
  <si>
    <t xml:space="preserve">https://med.virginia.edu/faculty/faculty-listing/lkt2e/</t>
  </si>
  <si>
    <t xml:space="preserve">Tan</t>
  </si>
  <si>
    <t xml:space="preserve">jctan.astro@gmail.com</t>
  </si>
  <si>
    <t xml:space="preserve">UVA Astronomy faculty &amp; senior research staff directory lists him as Research Professor (VITA).</t>
  </si>
  <si>
    <t xml:space="preserve">https://astronomy.as.virginia.edu/faculty-senior-research-staff</t>
  </si>
  <si>
    <t xml:space="preserve">Tang</t>
  </si>
  <si>
    <t xml:space="preserve">Shangming</t>
  </si>
  <si>
    <t xml:space="preserve">No search result for Shangming Tang at UVA or elsewhere.</t>
  </si>
  <si>
    <t xml:space="preserve">Tengteng</t>
  </si>
  <si>
    <t xml:space="preserve">Toni.Tang@virginia.edu</t>
  </si>
  <si>
    <t xml:space="preserve">unclear (UVA email on grant; Union College page found)</t>
  </si>
  <si>
    <t xml:space="preserve">Undated Union College page lists a Tengteng Tang as ME assistant professor; no UVA page found despite virginia.edu grant email.</t>
  </si>
  <si>
    <t xml:space="preserve">https://www.union.edu/me/faculty-staff/tengteng-tang</t>
  </si>
  <si>
    <t xml:space="preserve">Taniuchi</t>
  </si>
  <si>
    <t xml:space="preserve">Mami</t>
  </si>
  <si>
    <t xml:space="preserve">UVA Medicine, Infectious Diseases</t>
  </si>
  <si>
    <t xml:space="preserve">Sept 2023 UVA SOM news lists her as associate professor; no 2025+ evidence.</t>
  </si>
  <si>
    <t xml:space="preserve">https://news.med.virginia.edu/category/faculty/page/31</t>
  </si>
  <si>
    <t xml:space="preserve">Teachman</t>
  </si>
  <si>
    <t xml:space="preserve">Bethany</t>
  </si>
  <si>
    <t xml:space="preserve">UVA Psychology</t>
  </si>
  <si>
    <t xml:space="preserve">UVA TYDE page and Newswise profile show Commonwealth Professor and Director of Clinical Training at UVA.</t>
  </si>
  <si>
    <t xml:space="preserve">https://tyde.virginia.edu/?p=305</t>
  </si>
  <si>
    <t xml:space="preserve">Teague</t>
  </si>
  <si>
    <t xml:space="preserve">UVA Pediatrics (Respiratory Medicine)</t>
  </si>
  <si>
    <t xml:space="preserve">UVA CHRC key-investigator page lists W. Gerald Teague, Ivy Foundation Distinguished Professor of Pediatrics.</t>
  </si>
  <si>
    <t xml:space="preserve">https://med.virginia.edu/chrc/key-investigators/w-gerald-teague-md/</t>
  </si>
  <si>
    <t xml:space="preserve">Teles</t>
  </si>
  <si>
    <t xml:space="preserve">Mariana</t>
  </si>
  <si>
    <t xml:space="preserve">mt2yq@virginia.edu</t>
  </si>
  <si>
    <t xml:space="preserve">Two searches found no Mariana Teles at UVA; grant email mt2yq@virginia.edu is a UVA computing ID.</t>
  </si>
  <si>
    <t xml:space="preserve">Tepe</t>
  </si>
  <si>
    <t xml:space="preserve">Jetze</t>
  </si>
  <si>
    <t xml:space="preserve">UVA Chemistry / UVA Cancer Center</t>
  </si>
  <si>
    <t xml:space="preserve">Joined UVA Chemistry Jan 2024 as Cancer Center Director of Drug Discovery (moved from Michigan State).</t>
  </si>
  <si>
    <t xml:space="preserve">https://med.virginia.edu/cancer-research/about-us/news/news-archive-2024/jetze-tepe-phd-joins-cancer-center-research-faculty/</t>
  </si>
  <si>
    <t xml:space="preserve">Therrien</t>
  </si>
  <si>
    <t xml:space="preserve">wjt2c@virginia.edu</t>
  </si>
  <si>
    <t xml:space="preserve">UVA education directory lists William J. Therrien as Thomas G. Jewell Professor of Education.</t>
  </si>
  <si>
    <t xml:space="preserve">https://education.virginia.edu/about/directory/william-j-therrien</t>
  </si>
  <si>
    <t xml:space="preserve">Edwin</t>
  </si>
  <si>
    <t xml:space="preserve">elt@tamu.edu</t>
  </si>
  <si>
    <t xml:space="preserve">tamu.edu</t>
  </si>
  <si>
    <t xml:space="preserve">Timko</t>
  </si>
  <si>
    <t xml:space="preserve">mpt9g@virginia.edu</t>
  </si>
  <si>
    <t xml:space="preserve">UVA (Professor, Chemical Engineering)</t>
  </si>
  <si>
    <t xml:space="preserve">Public payroll data shows Michael Timko as UVA Professor with a 2026 salary entry.</t>
  </si>
  <si>
    <t xml:space="preserve">https://openpayrolls.com/employee/michael-timko-4164</t>
  </si>
  <si>
    <t xml:space="preserve">Toldo</t>
  </si>
  <si>
    <t xml:space="preserve">Stefano</t>
  </si>
  <si>
    <t xml:space="preserve">UVA CVRC and med.virginia.edu profiles list him as Associate Professor of Medicine; he moved from VCU.</t>
  </si>
  <si>
    <t xml:space="preserve">https://www.cvrc.virginia.edu/faculty-individual/?Id=167</t>
  </si>
  <si>
    <t xml:space="preserve">Torrey</t>
  </si>
  <si>
    <t xml:space="preserve">ygn5rz@virginia.edu</t>
  </si>
  <si>
    <t xml:space="preserve">UVA Department of Astronomy</t>
  </si>
  <si>
    <t xml:space="preserve">UVA Astronomy faculty listing shows Paul Torrey as Associate Professor.</t>
  </si>
  <si>
    <t xml:space="preserve">Tsai</t>
  </si>
  <si>
    <t xml:space="preserve">Ming-Feng</t>
  </si>
  <si>
    <t xml:space="preserve">UVA med faculty listing shows him as Associate Professor (lab at tsaislab.org); he moved from Colorado after 2023.</t>
  </si>
  <si>
    <t xml:space="preserve">https://med.virginia.edu/faculty/faculty-listing/vmf6uw/</t>
  </si>
  <si>
    <t xml:space="preserve">Tsihlis</t>
  </si>
  <si>
    <t xml:space="preserve">UVA Departments of Surgery and Biomedical Engineering</t>
  </si>
  <si>
    <t xml:space="preserve">Kibbe-Tsihlis lab page lists Nick D. Tsihlis as Professor of Research and co-PI.</t>
  </si>
  <si>
    <t xml:space="preserve">https://med.virginia.edu/kibbe-tsihlis-lab/team-members/</t>
  </si>
  <si>
    <t xml:space="preserve">Tsung</t>
  </si>
  <si>
    <t xml:space="preserve">Allan</t>
  </si>
  <si>
    <t xml:space="preserve">UVA School of Medicine, Chair of Surgery</t>
  </si>
  <si>
    <t xml:space="preserve">UVA Surgery faculty listing shows Allan Tsung as Professor and Chair, appointed in 2022.</t>
  </si>
  <si>
    <t xml:space="preserve">https://med.virginia.edu/surgery/faculty-listing</t>
  </si>
  <si>
    <t xml:space="preserve">Tzounopoulos</t>
  </si>
  <si>
    <t xml:space="preserve">Thanos</t>
  </si>
  <si>
    <t xml:space="preserve">University of Pittsburgh (Otolaryngology)</t>
  </si>
  <si>
    <t xml:space="preserve">Pitt pages list him as Professor and Director of the Pittsburgh Hearing Research Center; he is a Multi-PI co-lead at another institution.</t>
  </si>
  <si>
    <t xml:space="preserve">https://cnup.pitt.edu/people/thanos-tzounopoulos-phd</t>
  </si>
  <si>
    <t xml:space="preserve">Valdez</t>
  </si>
  <si>
    <t xml:space="preserve">Rupa</t>
  </si>
  <si>
    <t xml:space="preserve">UVA Public Health Sciences / Engineering Systems and Environment</t>
  </si>
  <si>
    <t xml:space="preserve">UVA Engineering faculty directory lists Rupa S. Valdez; UVA Health news shows her as Associate Professor.</t>
  </si>
  <si>
    <t xml:space="preserve">https://engineering.virginia.edu/faculty/v</t>
  </si>
  <si>
    <t xml:space="preserve">Van Berlo</t>
  </si>
  <si>
    <t xml:space="preserve">Johannes (Jop)</t>
  </si>
  <si>
    <t xml:space="preserve">University of Minnesota (Lillehei Heart Institute / Stem Cell Institute)</t>
  </si>
  <si>
    <t xml:space="preserve">Search results place Jop van Berlo at the University of Minnesota and show no UVA link; he is a Multi-PI co-lead elsewhere.</t>
  </si>
  <si>
    <t xml:space="preserve">https://app.jove.com/author/42969/jop-h-van-berlo</t>
  </si>
  <si>
    <t xml:space="preserve">Van Horn</t>
  </si>
  <si>
    <t xml:space="preserve">UVA School of Data Science and Department of Psychology</t>
  </si>
  <si>
    <t xml:space="preserve">UVA Data Science profile and 2025 OHBM award news show him at UVA.</t>
  </si>
  <si>
    <t xml:space="preserve">https://datascience.virginia.edu/news/john-van-horn-recognized-ohbm-2025-education-neuroimaging-award</t>
  </si>
  <si>
    <t xml:space="preserve">Vassallo</t>
  </si>
  <si>
    <t xml:space="preserve">Mayo Clinic, Rochester MN (Pulmonology)</t>
  </si>
  <si>
    <t xml:space="preserve">Mayo Clinic biography lists Robert Vassallo as a pulmonologist in Rochester; no UVA listing found.</t>
  </si>
  <si>
    <t xml:space="preserve">https://www.mayoclinic.org/biographies/vassallo-robert-m-d/bio-20054445</t>
  </si>
  <si>
    <t xml:space="preserve">Vecchiarello</t>
  </si>
  <si>
    <t xml:space="preserve">qzv7pp@virginia.edu</t>
  </si>
  <si>
    <t xml:space="preserve">UVA Department of Chemical Engineering</t>
  </si>
  <si>
    <t xml:space="preserve">UVA ChemE directory lists Nick Vecchiarello as Assistant Professor; UVA news reports his NSF CAREER award.</t>
  </si>
  <si>
    <t xml:space="preserve">https://engineering.virginia.edu/department/chemical-engineering/people?page=3</t>
  </si>
  <si>
    <t xml:space="preserve">Venkat</t>
  </si>
  <si>
    <t xml:space="preserve">Ashish</t>
  </si>
  <si>
    <t xml:space="preserve">av6ds@virginia.edu</t>
  </si>
  <si>
    <t xml:space="preserve">UVA Engineering pages list Ashish Venkat as William Wulf Career Enhancement Associate Professor.</t>
  </si>
  <si>
    <t xml:space="preserve">https://engineering.virginia.edu/department/computer-science/people?page=7</t>
  </si>
  <si>
    <t xml:space="preserve">Venton</t>
  </si>
  <si>
    <t xml:space="preserve">B.</t>
  </si>
  <si>
    <t xml:space="preserve">UVA Department of Chemistry (Chair)</t>
  </si>
  <si>
    <t xml:space="preserve">B. Jill Venton is Thomas Jefferson Professor and Chair of UVA Chemistry per the UVA lab site and CV.</t>
  </si>
  <si>
    <t xml:space="preserve">https://uva.theopenscholar.com/venton-group/jill-venton</t>
  </si>
  <si>
    <t xml:space="preserve">Von Gaudecker</t>
  </si>
  <si>
    <t xml:space="preserve">Jane</t>
  </si>
  <si>
    <t xml:space="preserve">Indiana University School of Nursing</t>
  </si>
  <si>
    <t xml:space="preserve">Conflicting: UVA Nursing page lists her; Indiana University news from Sept-Oct 2025 still shows her at IU.</t>
  </si>
  <si>
    <t xml:space="preserve">https://nursing.iu.edu/directory/profiles/von-gaudecker-jane.html</t>
  </si>
  <si>
    <t xml:space="preserve">Vucelja</t>
  </si>
  <si>
    <t xml:space="preserve">Marija</t>
  </si>
  <si>
    <t xml:space="preserve">mvucelja@virginia.edu</t>
  </si>
  <si>
    <t xml:space="preserve">UVA Department of Physics</t>
  </si>
  <si>
    <t xml:space="preserve">theCourseForum shows her teaching UVA physics courses through Fall 2025 with a virginia.edu email.</t>
  </si>
  <si>
    <t xml:space="preserve">https://thecourseforum.com/instructor/6572</t>
  </si>
  <si>
    <t xml:space="preserve">Vullikanti</t>
  </si>
  <si>
    <t xml:space="preserve">Anil</t>
  </si>
  <si>
    <t xml:space="preserve">Contact PI, PI, Co-PI</t>
  </si>
  <si>
    <t xml:space="preserve">asv9v@virginia.edu</t>
  </si>
  <si>
    <t xml:space="preserve">UVA Computer Science and Biocomplexity Institute</t>
  </si>
  <si>
    <t xml:space="preserve">UVA Engineering profile plus 2025 UVA award news show him as Professor at UVA.</t>
  </si>
  <si>
    <t xml:space="preserve">https://engineering.virginia.edu/faculty/anil-vullikanti</t>
  </si>
  <si>
    <t xml:space="preserve">Walsh</t>
  </si>
  <si>
    <t xml:space="preserve">UVA School of Medicine, Berne Cardiovascular Research Center</t>
  </si>
  <si>
    <t xml:space="preserve">UVA news and CVRC pages list him as Lockhart B. McGuire Professor of Medicine directing the Hematovascular Biology Center, with recent NIH grant news.</t>
  </si>
  <si>
    <t xml:space="preserve">https://www.cvrc.virginia.edu/tag/walsh/</t>
  </si>
  <si>
    <t xml:space="preserve">Wang</t>
  </si>
  <si>
    <t xml:space="preserve">Jingming</t>
  </si>
  <si>
    <t xml:space="preserve">pdw9qv@virginia.edu</t>
  </si>
  <si>
    <t xml:space="preserve">UVA Department of Statistics</t>
  </si>
  <si>
    <t xml:space="preserve">Current UVA Statistics people page lists her as Assistant Professor.</t>
  </si>
  <si>
    <t xml:space="preserve">https://statistics.as.virginia.edu/people/jingming-wang</t>
  </si>
  <si>
    <t xml:space="preserve">Lixin</t>
  </si>
  <si>
    <t xml:space="preserve">Two searches found no UVA-linked Lixin Wang, only same-name researchers in China.</t>
  </si>
  <si>
    <t xml:space="preserve">Tianhao</t>
  </si>
  <si>
    <t xml:space="preserve">tianhao@virginia.edu</t>
  </si>
  <si>
    <t xml:space="preserve">UVA Computer Science / School of Data Science</t>
  </si>
  <si>
    <t xml:space="preserve">UVA TYDE team page and CS news list him as an assistant professor with an NSF CAREER award.</t>
  </si>
  <si>
    <t xml:space="preserve">https://tyde.virginia.edu/team/tianhao-wang/</t>
  </si>
  <si>
    <t xml:space="preserve">Weiqiang</t>
  </si>
  <si>
    <t xml:space="preserve">ww9c@virginia.edu</t>
  </si>
  <si>
    <t xml:space="preserve">UVA Mathematics (likely)</t>
  </si>
  <si>
    <t xml:space="preserve">Math Genealogy shows UVA PhD students through 2024, but no 2025-2026 UVA profile found.</t>
  </si>
  <si>
    <t xml:space="preserve">https://www.mathgenealogy.org/id.php?id=65146</t>
  </si>
  <si>
    <t xml:space="preserve">Weaver</t>
  </si>
  <si>
    <t xml:space="preserve">Tyler</t>
  </si>
  <si>
    <t xml:space="preserve">Only an undated payroll aggregator lists a UVA Assistant Professor named Tyler Weaver; no department found.</t>
  </si>
  <si>
    <t xml:space="preserve">https://openpayrolls.com/employee/anda-webb-4164</t>
  </si>
  <si>
    <t xml:space="preserve">Wenker</t>
  </si>
  <si>
    <t xml:space="preserve">UVA School of Medicine (Wenker Lab)</t>
  </si>
  <si>
    <t xml:space="preserve">UVA Wenker Lab news shows activity through Feb 2026, including a UVA Research in Motion talk.</t>
  </si>
  <si>
    <t xml:space="preserve">https://med.virginia.edu/wenker-lab/lab-news/</t>
  </si>
  <si>
    <t xml:space="preserve">Whitlock</t>
  </si>
  <si>
    <t xml:space="preserve">Jarred</t>
  </si>
  <si>
    <t xml:space="preserve">UVA Department of Molecular Physiology and Biophysics</t>
  </si>
  <si>
    <t xml:space="preserve">UVA MPBP announcement says he joined as an assistant professor in Sept 2024; no sign he left.</t>
  </si>
  <si>
    <t xml:space="preserve">https://med.virginia.edu/physiology-biophysics/2024/10/09/welcome-two-new-mpbp-faculty/</t>
  </si>
  <si>
    <t xml:space="preserve">Whittaker</t>
  </si>
  <si>
    <t xml:space="preserve">jew9t@virginia.edu</t>
  </si>
  <si>
    <t xml:space="preserve">theCourseForum shows UVA Education courses taught by her through Spring 2026; she has a virginia.edu email.</t>
  </si>
  <si>
    <t xml:space="preserve">https://thecourseforum.com/instructor/4130</t>
  </si>
  <si>
    <t xml:space="preserve">Wilson</t>
  </si>
  <si>
    <t xml:space="preserve">Barbara</t>
  </si>
  <si>
    <t xml:space="preserve">bbwilson@virginia.edu</t>
  </si>
  <si>
    <t xml:space="preserve">UVA School of Architecture (likely Barbara Brown Wilson)</t>
  </si>
  <si>
    <t xml:space="preserve">Search shows a Barbara Brown Wilson in UVA urban planning (older pages); no 2025-2026 evidence found.</t>
  </si>
  <si>
    <t xml:space="preserve">https://clarke.dickinson.edu/barbara-brown-wilson/</t>
  </si>
  <si>
    <t xml:space="preserve">Beverly</t>
  </si>
  <si>
    <t xml:space="preserve">bw6xs@virginia.edu</t>
  </si>
  <si>
    <t xml:space="preserve">UVA School of Architecture, Urban and Environmental Planning</t>
  </si>
  <si>
    <t xml:space="preserve">Current UVA Architecture profile lists Bev Wilson as a professor of urban and environmental planning.</t>
  </si>
  <si>
    <t xml:space="preserve">https://www.arch.virginia.edu/people/bev-wilson</t>
  </si>
  <si>
    <t xml:space="preserve">Jonee</t>
  </si>
  <si>
    <t xml:space="preserve">vma8ze@virginia.edu</t>
  </si>
  <si>
    <t xml:space="preserve">UVA Education directory lists her as an associate professor of mathematics education (formerly at NC State).</t>
  </si>
  <si>
    <t xml:space="preserve">https://education.virginia.edu/about/directory/jonee-wilson</t>
  </si>
  <si>
    <t xml:space="preserve">Winckler</t>
  </si>
  <si>
    <t xml:space="preserve">Bettina</t>
  </si>
  <si>
    <t xml:space="preserve">UVA School of Medicine, Department of Cell Biology (Chair)</t>
  </si>
  <si>
    <t xml:space="preserve">An Aug 2026 UVA Health news item names her chair of the Department of Cell Biology.</t>
  </si>
  <si>
    <t xml:space="preserve">https://www.uvahealth.com/news/leading-nervous-system-researcher-chair-uva-department-cell-biology</t>
  </si>
  <si>
    <t xml:space="preserve">Wiseman</t>
  </si>
  <si>
    <t xml:space="preserve">Kara</t>
  </si>
  <si>
    <t xml:space="preserve">Feb 2026 UVA SOM news covers her award and Research in Motion profile as an assistant professor.</t>
  </si>
  <si>
    <t xml:space="preserve">https://news.med.virginia.edu/newsletter/2-19-26-issue/</t>
  </si>
  <si>
    <t xml:space="preserve">Witt</t>
  </si>
  <si>
    <t xml:space="preserve">Two searches found no evidence of a Russell Witt at UVA.</t>
  </si>
  <si>
    <t xml:space="preserve">Wolf</t>
  </si>
  <si>
    <t xml:space="preserve">UVA SOM faculty profile lists Matthew J. Wolf as Professor of Cardiovascular Medicine, with a lab in the Berne CVRC.</t>
  </si>
  <si>
    <t xml:space="preserve">https://med.virginia.edu/faculty/faculty-listing/mjw5mc/</t>
  </si>
  <si>
    <t xml:space="preserve">Wong</t>
  </si>
  <si>
    <t xml:space="preserve">Vivian</t>
  </si>
  <si>
    <t xml:space="preserve">vcw2n@virginia.edu</t>
  </si>
  <si>
    <t xml:space="preserve">Search results describe her as Associate Professor of Research, Statistics and Evaluation at UVA SEHD; her email is a virginia.edu address.</t>
  </si>
  <si>
    <t xml:space="preserve">https://www.brookings.edu/author/vivian-wong/</t>
  </si>
  <si>
    <t xml:space="preserve">Wood</t>
  </si>
  <si>
    <t xml:space="preserve">adrienne.wood@virginia.edu</t>
  </si>
  <si>
    <t xml:space="preserve">UVA Dept of Psychology</t>
  </si>
  <si>
    <t xml:space="preserve">UVA TYDE profile lists her as Assistant Professor of Psychology; she received a 2025 UW alumni award.</t>
  </si>
  <si>
    <t xml:space="preserve">https://tyde.virginia.edu/team/adrienne-wood/</t>
  </si>
  <si>
    <t xml:space="preserve">Woodfolk</t>
  </si>
  <si>
    <t xml:space="preserve">Judith</t>
  </si>
  <si>
    <t xml:space="preserve">UVA School of Medicine, Asthma, Allergy and Immunology</t>
  </si>
  <si>
    <t xml:space="preserve">UVA profile lists her as Professor of Medicine and MSTP Co-Director, with a 2025 publication.</t>
  </si>
  <si>
    <t xml:space="preserve">https://med.virginia.edu/asthma-allergy-immunology/research/judith-a-woodfolk-md-phd/</t>
  </si>
  <si>
    <t xml:space="preserve">Worley</t>
  </si>
  <si>
    <t xml:space="preserve">UVA faculty listing shows Melanie I. Worley as Assistant Professor of Biology (Drosophila regeneration lab).</t>
  </si>
  <si>
    <t xml:space="preserve">https://med.virginia.edu/faculty/faculty-listing/rpc4ev/</t>
  </si>
  <si>
    <t xml:space="preserve">Worrall</t>
  </si>
  <si>
    <t xml:space="preserve">UVA Health provider page and SOM profile list him as Professor of Neurology and Stroke Division Chief.</t>
  </si>
  <si>
    <t xml:space="preserve">https://uvahealth.com/providers/bradford-worrall-1821167461</t>
  </si>
  <si>
    <t xml:space="preserve">Wotton</t>
  </si>
  <si>
    <t xml:space="preserve">UVA Biochemistry and Molecular Genetics (likely)</t>
  </si>
  <si>
    <t xml:space="preserve">The only UVA evidence found is a February 2023 award news item and an undated course listing; no 2025-2026 profile turned up.</t>
  </si>
  <si>
    <t xml:space="preserve">Wythe</t>
  </si>
  <si>
    <t xml:space="preserve">Joshua</t>
  </si>
  <si>
    <t xml:space="preserve">UVA Dept of Cell Biology</t>
  </si>
  <si>
    <t xml:space="preserve">UVA SOM profile lists him as Associate Professor of Cell and Developmental Biology; he moved from Baylor in 2024.</t>
  </si>
  <si>
    <t xml:space="preserve">https://med.virginia.edu/cell-biology/2024/04/26/uva-cell-biology-welcomes-dr-joshua-wythe/</t>
  </si>
  <si>
    <t xml:space="preserve">Xie</t>
  </si>
  <si>
    <t xml:space="preserve">Jinghang</t>
  </si>
  <si>
    <t xml:space="preserve">UVA Molecular Physiology and Biological Physics (likely)</t>
  </si>
  <si>
    <t xml:space="preserve">The only evidence found is a June 2024 UVA Cancer Center news item about him joining as an assistant professor; nothing from 2025-2026 turned up.</t>
  </si>
  <si>
    <t xml:space="preserve">https://med.virginia.edu/cancer-research/about-us/news/news-archive-2024/jinghang-xie-phd-joins-cancer-center-research-faculty/</t>
  </si>
  <si>
    <t xml:space="preserve">Xu</t>
  </si>
  <si>
    <t xml:space="preserve">Baoxing</t>
  </si>
  <si>
    <t xml:space="preserve">The UVA Engineering faculty listing shows him as Associate Professor of Mechanical and Aerospace Engineering.</t>
  </si>
  <si>
    <t xml:space="preserve">https://engineering.virginia.edu/faculty/x</t>
  </si>
  <si>
    <t xml:space="preserve">Kexin</t>
  </si>
  <si>
    <t xml:space="preserve">UVA Dept of Genome Sciences / Cancer Center</t>
  </si>
  <si>
    <t xml:space="preserve">January 2025 UVA Cancer Center news welcomes Kexin Xu as Professor of Genome Sciences.</t>
  </si>
  <si>
    <t xml:space="preserve">https://med.virginia.edu/cancer-research/about-us/news/news-archive-2025/gen-program-welcomes-kexin-xu-phd/</t>
  </si>
  <si>
    <t xml:space="preserve">Yadava</t>
  </si>
  <si>
    <t xml:space="preserve">Ramesh</t>
  </si>
  <si>
    <t xml:space="preserve">UVA Pathology (Mahadevan lab), last seen 2021</t>
  </si>
  <si>
    <t xml:space="preserve">Ramesh S. Yadava appears on UVA myotonic dystrophy papers up to 2021; no current profile was found.</t>
  </si>
  <si>
    <t xml:space="preserve">https://www.uvahealth.com/news/potential-treatment-for-myotonic-muscular-dystrophy-identified</t>
  </si>
  <si>
    <t xml:space="preserve">Yagi</t>
  </si>
  <si>
    <t xml:space="preserve">Kento</t>
  </si>
  <si>
    <t xml:space="preserve">ky5t@virginia.edu</t>
  </si>
  <si>
    <t xml:space="preserve">A November 2025 UVA 'Hoos in STEM' podcast features Kent Yagi as a UVA physics professor; his email ky5t matches.</t>
  </si>
  <si>
    <t xml:space="preserve">https://www.audioscrape.com/podcast/hoos-in-stem</t>
  </si>
  <si>
    <t xml:space="preserve">Yan</t>
  </si>
  <si>
    <t xml:space="preserve">Guofen</t>
  </si>
  <si>
    <t xml:space="preserve">UVA Dept of Public Health Sciences, Biostatistics</t>
  </si>
  <si>
    <t xml:space="preserve">UVA PHS profile lists her as Professor of Biostatistics, and payroll records run through 2026.</t>
  </si>
  <si>
    <t xml:space="preserve">https://med.virginia.edu/phs/2017/09/07/yan-guofen-ph-d/</t>
  </si>
  <si>
    <t xml:space="preserve">Yang</t>
  </si>
  <si>
    <t xml:space="preserve">UVA SOM faculty listing shows him as an assistant professor (cryo-EM, cell stress); his lab opened in 2024.</t>
  </si>
  <si>
    <t xml:space="preserve">https://med.virginia.edu/faculty/faculty-listing/wfw7nc/</t>
  </si>
  <si>
    <t xml:space="preserve">Jing</t>
  </si>
  <si>
    <t xml:space="preserve">akz2wg@virginia.edu</t>
  </si>
  <si>
    <t xml:space="preserve">Wikipedia and DBLP list her as an associate professor of ECE at UVA; she has a recent-style UVA computing ID.</t>
  </si>
  <si>
    <t xml:space="preserve">https://en.wikipedia.org/wiki/Jing_Yang_(computer_engineer)</t>
  </si>
  <si>
    <t xml:space="preserve">Xi</t>
  </si>
  <si>
    <t xml:space="preserve">xiyang@virginia.edu</t>
  </si>
  <si>
    <t xml:space="preserve">UVA plant ecology lab page and DBLP list him as an associate professor in UVA Environmental Sciences.</t>
  </si>
  <si>
    <t xml:space="preserve">https://uva.theopenscholar.com/plant-ecology-lab/people</t>
  </si>
  <si>
    <t xml:space="preserve">Yaohua</t>
  </si>
  <si>
    <t xml:space="preserve">UVA Dept. of Genome Sciences</t>
  </si>
  <si>
    <t xml:space="preserve">UVA Genome Sciences page (Aug 2024) and Frontiers profile list him as assistant professor at UVA; no sign he left.</t>
  </si>
  <si>
    <t xml:space="preserve">https://med.virginia.edu/genome-sciences/tag/yaohua-yang/</t>
  </si>
  <si>
    <t xml:space="preserve">Zequan</t>
  </si>
  <si>
    <t xml:space="preserve">UVA Dept. of Surgery (TCV lab) / CVRC</t>
  </si>
  <si>
    <t xml:space="preserve">UVA faculty listing and TCV lab page list him as Associate Professor of Surgery; 2024 publications.</t>
  </si>
  <si>
    <t xml:space="preserve">https://med.virginia.edu/faculty/faculty-listing/zy6b</t>
  </si>
  <si>
    <t xml:space="preserve">Yarboro</t>
  </si>
  <si>
    <t xml:space="preserve">Leora</t>
  </si>
  <si>
    <t xml:space="preserve">UVA Health, Cardiac Surgery</t>
  </si>
  <si>
    <t xml:space="preserve">UVA Health provider profile shows her as chief of cardiac surgery; cites 2025 Newsweek award.</t>
  </si>
  <si>
    <t xml:space="preserve">https://www.uvahealth.com/providers/Leora-Yarboro-1437378643</t>
  </si>
  <si>
    <t xml:space="preserve">Yi</t>
  </si>
  <si>
    <t xml:space="preserve">xy3m@virginia.edu</t>
  </si>
  <si>
    <t xml:space="preserve">Search found no UVA page for Xu Yi; the only hits were namesakes in China.</t>
  </si>
  <si>
    <t xml:space="preserve">Wen</t>
  </si>
  <si>
    <t xml:space="preserve">UVA Dept. of Public Health Sciences</t>
  </si>
  <si>
    <t xml:space="preserve">UVA PHS faculty profile lists her as Professor and director of a Cancer Center core; adjunct appointment at Virginia Tech.</t>
  </si>
  <si>
    <t xml:space="preserve">https://med.virginia.edu/phs/2019/08/01/you-wen/</t>
  </si>
  <si>
    <t xml:space="preserve">Shan</t>
  </si>
  <si>
    <t xml:space="preserve">sy5jx@virginia.edu</t>
  </si>
  <si>
    <t xml:space="preserve">UVA Dept. of Statistics</t>
  </si>
  <si>
    <t xml:space="preserve">UVA Statistics department profile lists her as assistant professor.</t>
  </si>
  <si>
    <t xml:space="preserve">https://statistics.as.virginia.edu/people/shan-yu</t>
  </si>
  <si>
    <t xml:space="preserve">Zang</t>
  </si>
  <si>
    <t xml:space="preserve">Chongzhi</t>
  </si>
  <si>
    <t xml:space="preserve">Contact PI, Multi-PI, Co-PI</t>
  </si>
  <si>
    <t xml:space="preserve">zang@virginia.edu</t>
  </si>
  <si>
    <t xml:space="preserve">UVA Center for Public Health Genomics / PHS / BME</t>
  </si>
  <si>
    <t xml:space="preserve">UVA named him a 2024 Pinn Scholar (associate professor); multiple UVA appointments.</t>
  </si>
  <si>
    <t xml:space="preserve">https://med.virginia.edu/genome-sciences/2024/07/11/cphgs-chongzhi-zang-named-2024-pinn-scholar/</t>
  </si>
  <si>
    <t xml:space="preserve">Zawar</t>
  </si>
  <si>
    <t xml:space="preserve">Ifrah</t>
  </si>
  <si>
    <t xml:space="preserve">UVA Health, Neurology (Epilepsy)</t>
  </si>
  <si>
    <t xml:space="preserve">UVA Health provider profile is live, and the 2025/2026 ANA speaker pages list her.</t>
  </si>
  <si>
    <t xml:space="preserve">https://www.uvahealth.com/providers/IFRAH-ZAWAR-1689076192</t>
  </si>
  <si>
    <t xml:space="preserve">Zebarjadi</t>
  </si>
  <si>
    <t xml:space="preserve">Mona</t>
  </si>
  <si>
    <t xml:space="preserve">mz6g@virginia.edu</t>
  </si>
  <si>
    <t xml:space="preserve">UVA ECE and Materials Science &amp; Engineering</t>
  </si>
  <si>
    <t xml:space="preserve">UVA Engineering faculty page lists her as professor; she leads the E-Snail lab.</t>
  </si>
  <si>
    <t xml:space="preserve">https://engineering.virginia.edu/faculty/mona-zebarjadi</t>
  </si>
  <si>
    <t xml:space="preserve">Zeichner</t>
  </si>
  <si>
    <t xml:space="preserve">UVA Health, Pediatric Infectious Diseases</t>
  </si>
  <si>
    <t xml:space="preserve">UVA Children's provider profile lists him as professor of Pediatric ID.</t>
  </si>
  <si>
    <t xml:space="preserve">https://childrens.uvahealth.com/providers/steven-zeichner-1730275314</t>
  </si>
  <si>
    <t xml:space="preserve">Zeidan</t>
  </si>
  <si>
    <t xml:space="preserve">Fadel</t>
  </si>
  <si>
    <t xml:space="preserve">UC San Diego, Dept. of Anesthesiology</t>
  </si>
  <si>
    <t xml:space="preserve">UCSD profile lists him as professor and director of the Pain Health and Mindfulness Lab; likely an external Multi-PI.</t>
  </si>
  <si>
    <t xml:space="preserve">https://empathyandcompassion.ucsd.edu/about/people/profiles/fadel-zeidan-phd.html</t>
  </si>
  <si>
    <t xml:space="preserve">Zeitlin</t>
  </si>
  <si>
    <t xml:space="preserve">Search found no Scott Zeitlin at UVA (likely the Scott Zeitlin in UVA Neuroscience/Huntington disease, but not verified).</t>
  </si>
  <si>
    <t xml:space="preserve">Zhang</t>
  </si>
  <si>
    <t xml:space="preserve">Aidong</t>
  </si>
  <si>
    <t xml:space="preserve">aidong@virginia.edu</t>
  </si>
  <si>
    <t xml:space="preserve">UVA Computer Science / Data Science / BME</t>
  </si>
  <si>
    <t xml:space="preserve">UVA Data Science profile lists her as Linville Professor and interim CS chair.</t>
  </si>
  <si>
    <t xml:space="preserve">https://datascience.virginia.edu/people/aidong-zhang</t>
  </si>
  <si>
    <t xml:space="preserve">Miaomiao</t>
  </si>
  <si>
    <t xml:space="preserve">mz8rr@virginia.edu</t>
  </si>
  <si>
    <t xml:space="preserve">UVA ECE / Computer Science</t>
  </si>
  <si>
    <t xml:space="preserve">UVA Engineering faculty directory lists her as a joint ECE/CS faculty member.</t>
  </si>
  <si>
    <t xml:space="preserve">https://engineering.virginia.edu/department/electrical-and-computer-engineering/faculty?page=5</t>
  </si>
  <si>
    <t xml:space="preserve">Shangtong</t>
  </si>
  <si>
    <t xml:space="preserve">shangtong.zhang.cs@gmail.com</t>
  </si>
  <si>
    <t xml:space="preserve">UVA Engineering faculty page lists him as assistant professor in CS.</t>
  </si>
  <si>
    <t xml:space="preserve">https://www.engineering.virginia.edu/faculty/shangtong-zhang</t>
  </si>
  <si>
    <t xml:space="preserve">Tianpeng</t>
  </si>
  <si>
    <t xml:space="preserve">Search found no UVA page for Tianpeng Zhang.</t>
  </si>
  <si>
    <t xml:space="preserve">Xinyu</t>
  </si>
  <si>
    <t xml:space="preserve">xyzhang@ucsd.edu</t>
  </si>
  <si>
    <t xml:space="preserve">ucsd.edu</t>
  </si>
  <si>
    <t xml:space="preserve">Zhao</t>
  </si>
  <si>
    <t xml:space="preserve">Hua</t>
  </si>
  <si>
    <t xml:space="preserve">Search found no UVA page for Hua Zhao; the only hits were namesakes at UMN, Brunel and Shandong.</t>
  </si>
  <si>
    <t xml:space="preserve">Zhen</t>
  </si>
  <si>
    <t xml:space="preserve">Unknown (likely external Multi-PI)</t>
  </si>
  <si>
    <t xml:space="preserve">Search found no UVA Zhen Zhao; the only hits were namesakes at SDSU and elsewhere.</t>
  </si>
  <si>
    <t xml:space="preserve">Zhigilei</t>
  </si>
  <si>
    <t xml:space="preserve">lz2n@virginia.edu</t>
  </si>
  <si>
    <t xml:space="preserve">UVA, Materials Science and Engineering</t>
  </si>
  <si>
    <t xml:space="preserve">Current UVA Engineering faculty profile lists him as Professor of MSE; leads the Computational Materials Group.</t>
  </si>
  <si>
    <t xml:space="preserve">https://engineering.virginia.edu/faculty/leonid-v-zhigilei</t>
  </si>
  <si>
    <t xml:space="preserve">Zhou</t>
  </si>
  <si>
    <t xml:space="preserve">Anny</t>
  </si>
  <si>
    <t xml:space="preserve">UVA School of Medicine, Pulmonary and Critical Care Medicine</t>
  </si>
  <si>
    <t xml:space="preserve">UVA Pulmonary faculty page lists Anny Xiaobo Zhou, PhD, as professor (moved from Harvard/BWH; hired March 2025 per payroll).</t>
  </si>
  <si>
    <t xml:space="preserve">https://med.virginia.edu/pulmonary/anny-xiaobo-zhou-phd/</t>
  </si>
  <si>
    <t xml:space="preserve">Bicheng</t>
  </si>
  <si>
    <t xml:space="preserve">bicheng.zhou@virginia.edu</t>
  </si>
  <si>
    <t xml:space="preserve">Unknown (virginia.edu email on NSF award)</t>
  </si>
  <si>
    <t xml:space="preserve">No web result found for Bicheng Zhou at UVA or elsewhere in two searches.</t>
  </si>
  <si>
    <t xml:space="preserve">Jenny</t>
  </si>
  <si>
    <t xml:space="preserve">UVA Ophthalmology page lists Jenny H. Zhou, MD, PhD, as Associate Professor, January 2026 to present (previously Yale).</t>
  </si>
  <si>
    <t xml:space="preserve">https://med.virginia.edu/ophthalmology/?p=6221</t>
  </si>
  <si>
    <t xml:space="preserve">Jingsong</t>
  </si>
  <si>
    <t xml:space="preserve">University of Texas at Arlington, Kinesiology</t>
  </si>
  <si>
    <t xml:space="preserve">Only Jingsong Zhou found is Professor of Kinesiology at UT Arlington; likely an external Multi-PI.</t>
  </si>
  <si>
    <t xml:space="preserve">https://zhounmdlab.uta.edu/?p=13</t>
  </si>
  <si>
    <t xml:space="preserve">xbd7fb@virginia.edu</t>
  </si>
  <si>
    <t xml:space="preserve">UVA (tenure-line associate professor, department not identified)</t>
  </si>
  <si>
    <t xml:space="preserve">2026 public payroll record shows Lin Zhou as UVA tenure-line associate professor hired July 2025; consistent with virginia.edu email on NSF award.</t>
  </si>
  <si>
    <t xml:space="preserve">https://openpayrolls.com/lin-zhou-178654445</t>
  </si>
  <si>
    <t xml:space="preserve">Zhu</t>
  </si>
  <si>
    <t xml:space="preserve">Hong</t>
  </si>
  <si>
    <t xml:space="preserve">hzhu2m@virginia.edu</t>
  </si>
  <si>
    <t xml:space="preserve">UVA School of Medicine, Public Health Sciences (Biostatistics)</t>
  </si>
  <si>
    <t xml:space="preserve">UVA pages list Hong Zhu as Professor of Biostatistics and Faculty Director of the Biostatistics and Population Science Shared Resource.</t>
  </si>
  <si>
    <t xml:space="preserve">https://med.virginia.edu/bpssr/our-team-and-location/</t>
  </si>
  <si>
    <t xml:space="preserve">Ohio State University, Department of Surgery</t>
  </si>
  <si>
    <t xml:space="preserve">Hua Zhu, PhD, is Professor of Surgery at Ohio State (MG53/muscle repair); no UVA link found, likely external Multi-PI.</t>
  </si>
  <si>
    <t xml:space="preserve">https://medicine.osu.edu/find-a-researcher/hua-zhu-100003860</t>
  </si>
  <si>
    <t xml:space="preserve">Huiyuan</t>
  </si>
  <si>
    <t xml:space="preserve">kkx8js@virginia.edu</t>
  </si>
  <si>
    <t xml:space="preserve">UVA, Chemistry</t>
  </si>
  <si>
    <t xml:space="preserve">UVA lab page lists her as Associate Professor of Chemistry since 2023.08 to present.</t>
  </si>
  <si>
    <t xml:space="preserve">https://uva.theopenscholar.com/nano-energy-and-environmental-catalysis-lab/people/prof-huiyuan-zhu</t>
  </si>
  <si>
    <t xml:space="preserve">Qianqian</t>
  </si>
  <si>
    <t xml:space="preserve">Roswell Park Comprehensive Cancer Center, Biostatistics and Bioinformatics</t>
  </si>
  <si>
    <t xml:space="preserve">Qianqian Zhu, PhD, is Professor of Oncology at Roswell Park; no UVA link found, likely external Multi-PI.</t>
  </si>
  <si>
    <t xml:space="preserve">https://www.roswellpark.org/qianqian-zhu</t>
  </si>
  <si>
    <t xml:space="preserve">Zimmer</t>
  </si>
  <si>
    <t xml:space="preserve">Jochen</t>
  </si>
  <si>
    <t xml:space="preserve">UVA named him Charles Slaughter Professor of Physiology, July 2024 to June 2029; HHMI honor news.</t>
  </si>
  <si>
    <t xml:space="preserve">https://med.virginia.edu/physiology-biophysics/2024/11/27/dr-jochen-zimmer-elected-to-the-charles-slaughter-professorship-in-physiology/</t>
  </si>
  <si>
    <t xml:space="preserve">Zoellner</t>
  </si>
  <si>
    <t xml:space="preserve">UVA reported in June 2026 on her new grant-funded sugary-drink study; Professor of Public Health Sciences.</t>
  </si>
  <si>
    <t xml:space="preserve">https://www.eurekalert.org/multimedia/895702</t>
  </si>
  <si>
    <t xml:space="preserve">Zong</t>
  </si>
  <si>
    <t xml:space="preserve">UVA School of Medicine, Microbiology, Immunology, and Cancer Biology</t>
  </si>
  <si>
    <t xml:space="preserve">UVA Neuroscience Graduate Program and med.virginia.edu lab pages list him as professor in MIC (glioma research).</t>
  </si>
  <si>
    <t xml:space="preserve">https://neurograd.virginia.edu/hui-zong</t>
  </si>
  <si>
    <t xml:space="preserve">Status</t>
  </si>
  <si>
    <t xml:space="preserve">Count</t>
  </si>
  <si>
    <t xml:space="preserve">Not yet checked</t>
  </si>
  <si>
    <t xml:space="preserve">Total</t>
  </si>
  <si>
    <t xml:space="preserve">Source: active NIH (RePORTER) and NSF awards to University of Virginia, Charlottesville, pulled 2026-10-07.</t>
  </si>
  <si>
    <t xml:space="preserve">Includes NIH contact PIs and multiple PIs, NSF PIs and Co-PIs. Excludes NIH F-series, K99/R00 and NSF postdoc/fellowship programs, and NSF Co-PIs marked '(Former)'.</t>
  </si>
  <si>
    <t xml:space="preserve">Roles: Contact PI and Multi-PI are NIH; PI and Co-PI are NSF.</t>
  </si>
  <si>
    <t xml:space="preserve">Verification (web search, 2026-10-07/08): Confirmed = current (2025-2026) UVA page or news names them; Negative = now at another institution, retired or deceased, or an external collaborator; Possible = only older or ambiguous evidence; Not yet checked = search limit reached.</t>
  </si>
  <si>
    <t xml:space="preserve">Direct access to virginia.edu was blocked from this environment, so evidence comes from search results. This is triage, not proof of employment; UVA's Office of Sponsored Programs or HR is authoritative.</t>
  </si>
  <si>
    <t xml:space="preserve">People are matched on last name + first given name. NIH lists some multi-PIs by initial only. NIH does not publish PI emails.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</si>
</sst>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WenQuanYi Zen Hei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2"/>
    <col collapsed="false" customWidth="true" hidden="false" outlineLevel="0" max="8" min="8" style="0" width="16"/>
    <col collapsed="false" customWidth="true" hidden="false" outlineLevel="0" max="9" min="9" style="0" width="40"/>
    <col collapsed="false" customWidth="true" hidden="false" outlineLevel="0" max="10" min="10" style="0" width="70"/>
    <col collapsed="false" customWidth="true" hidden="false" outlineLevel="0" max="11" min="11" style="0" width="50"/>
    <col collapsed="false" customWidth="true" hidden="false" outlineLevel="0" max="12" min="12" style="0" width="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n">
        <v>1</v>
      </c>
      <c r="B2" s="2" t="s">
        <v>11</v>
      </c>
      <c r="C2" s="2" t="s">
        <v>12</v>
      </c>
      <c r="D2" s="2" t="s">
        <v>13</v>
      </c>
      <c r="E2" s="2" t="s">
        <v>14</v>
      </c>
      <c r="F2" s="2" t="n">
        <v>1</v>
      </c>
      <c r="G2" s="2"/>
      <c r="H2" s="3" t="s">
        <v>15</v>
      </c>
      <c r="I2" s="2" t="s">
        <v>16</v>
      </c>
      <c r="J2" s="2" t="s">
        <v>17</v>
      </c>
      <c r="K2" s="2"/>
    </row>
    <row r="3" customFormat="false" ht="15" hidden="false" customHeight="false" outlineLevel="0" collapsed="false">
      <c r="A3" s="2" t="n">
        <v>2</v>
      </c>
      <c r="B3" s="2" t="s">
        <v>18</v>
      </c>
      <c r="C3" s="2" t="s">
        <v>19</v>
      </c>
      <c r="D3" s="2" t="s">
        <v>20</v>
      </c>
      <c r="E3" s="2" t="s">
        <v>14</v>
      </c>
      <c r="F3" s="2" t="n">
        <v>1</v>
      </c>
      <c r="G3" s="2"/>
      <c r="H3" s="4" t="s">
        <v>21</v>
      </c>
      <c r="I3" s="2" t="s">
        <v>22</v>
      </c>
      <c r="J3" s="2" t="s">
        <v>23</v>
      </c>
      <c r="K3" s="2" t="s">
        <v>24</v>
      </c>
    </row>
    <row r="4" customFormat="false" ht="15" hidden="false" customHeight="false" outlineLevel="0" collapsed="false">
      <c r="A4" s="2" t="n">
        <v>3</v>
      </c>
      <c r="B4" s="2" t="s">
        <v>25</v>
      </c>
      <c r="C4" s="2" t="s">
        <v>26</v>
      </c>
      <c r="D4" s="2" t="s">
        <v>13</v>
      </c>
      <c r="E4" s="2" t="s">
        <v>14</v>
      </c>
      <c r="F4" s="2" t="n">
        <v>1</v>
      </c>
      <c r="G4" s="2"/>
      <c r="H4" s="4" t="s">
        <v>21</v>
      </c>
      <c r="I4" s="2" t="s">
        <v>27</v>
      </c>
      <c r="J4" s="2" t="s">
        <v>28</v>
      </c>
      <c r="K4" s="2" t="s">
        <v>29</v>
      </c>
    </row>
    <row r="5" customFormat="false" ht="15" hidden="false" customHeight="false" outlineLevel="0" collapsed="false">
      <c r="A5" s="2" t="n">
        <v>4</v>
      </c>
      <c r="B5" s="2" t="s">
        <v>30</v>
      </c>
      <c r="C5" s="2" t="s">
        <v>31</v>
      </c>
      <c r="D5" s="2" t="s">
        <v>13</v>
      </c>
      <c r="E5" s="2" t="s">
        <v>14</v>
      </c>
      <c r="F5" s="2" t="n">
        <v>1</v>
      </c>
      <c r="G5" s="2"/>
      <c r="H5" s="3" t="s">
        <v>15</v>
      </c>
      <c r="I5" s="2" t="s">
        <v>32</v>
      </c>
      <c r="J5" s="2" t="s">
        <v>33</v>
      </c>
      <c r="K5" s="2" t="s">
        <v>34</v>
      </c>
    </row>
    <row r="6" customFormat="false" ht="15" hidden="false" customHeight="false" outlineLevel="0" collapsed="false">
      <c r="A6" s="2" t="n">
        <v>5</v>
      </c>
      <c r="B6" s="2" t="s">
        <v>35</v>
      </c>
      <c r="C6" s="2" t="s">
        <v>36</v>
      </c>
      <c r="D6" s="2" t="s">
        <v>13</v>
      </c>
      <c r="E6" s="2" t="s">
        <v>14</v>
      </c>
      <c r="F6" s="2" t="n">
        <v>2</v>
      </c>
      <c r="G6" s="2"/>
      <c r="H6" s="3" t="s">
        <v>15</v>
      </c>
      <c r="I6" s="2" t="s">
        <v>37</v>
      </c>
      <c r="J6" s="2" t="s">
        <v>38</v>
      </c>
      <c r="K6" s="2" t="s">
        <v>39</v>
      </c>
    </row>
    <row r="7" customFormat="false" ht="15" hidden="false" customHeight="false" outlineLevel="0" collapsed="false">
      <c r="A7" s="2" t="n">
        <v>6</v>
      </c>
      <c r="B7" s="2" t="s">
        <v>40</v>
      </c>
      <c r="C7" s="2" t="s">
        <v>41</v>
      </c>
      <c r="D7" s="2" t="s">
        <v>42</v>
      </c>
      <c r="E7" s="2" t="s">
        <v>43</v>
      </c>
      <c r="F7" s="2" t="n">
        <v>1</v>
      </c>
      <c r="G7" s="2" t="s">
        <v>44</v>
      </c>
      <c r="H7" s="5" t="s">
        <v>45</v>
      </c>
      <c r="I7" s="2" t="s">
        <v>46</v>
      </c>
      <c r="J7" s="2" t="s">
        <v>47</v>
      </c>
      <c r="K7" s="2"/>
    </row>
    <row r="8" customFormat="false" ht="15" hidden="false" customHeight="false" outlineLevel="0" collapsed="false">
      <c r="A8" s="2" t="n">
        <v>7</v>
      </c>
      <c r="B8" s="2" t="s">
        <v>48</v>
      </c>
      <c r="C8" s="2" t="s">
        <v>49</v>
      </c>
      <c r="D8" s="2" t="s">
        <v>13</v>
      </c>
      <c r="E8" s="2" t="s">
        <v>14</v>
      </c>
      <c r="F8" s="2" t="n">
        <v>2</v>
      </c>
      <c r="G8" s="2"/>
      <c r="H8" s="4" t="s">
        <v>21</v>
      </c>
      <c r="I8" s="2" t="s">
        <v>50</v>
      </c>
      <c r="J8" s="2" t="s">
        <v>51</v>
      </c>
      <c r="K8" s="2" t="s">
        <v>52</v>
      </c>
    </row>
    <row r="9" customFormat="false" ht="15" hidden="false" customHeight="false" outlineLevel="0" collapsed="false">
      <c r="A9" s="2" t="n">
        <v>8</v>
      </c>
      <c r="B9" s="2" t="s">
        <v>53</v>
      </c>
      <c r="C9" s="2" t="s">
        <v>54</v>
      </c>
      <c r="D9" s="2" t="s">
        <v>42</v>
      </c>
      <c r="E9" s="2" t="s">
        <v>43</v>
      </c>
      <c r="F9" s="2" t="n">
        <v>1</v>
      </c>
      <c r="G9" s="2" t="s">
        <v>55</v>
      </c>
      <c r="H9" s="4" t="s">
        <v>21</v>
      </c>
      <c r="I9" s="2" t="s">
        <v>56</v>
      </c>
      <c r="J9" s="2" t="s">
        <v>57</v>
      </c>
      <c r="K9" s="2" t="s">
        <v>58</v>
      </c>
    </row>
    <row r="10" customFormat="false" ht="15" hidden="false" customHeight="false" outlineLevel="0" collapsed="false">
      <c r="A10" s="2" t="n">
        <v>9</v>
      </c>
      <c r="B10" s="2" t="s">
        <v>59</v>
      </c>
      <c r="C10" s="2" t="s">
        <v>60</v>
      </c>
      <c r="D10" s="2" t="s">
        <v>61</v>
      </c>
      <c r="E10" s="2" t="s">
        <v>43</v>
      </c>
      <c r="F10" s="2" t="n">
        <v>1</v>
      </c>
      <c r="G10" s="2" t="s">
        <v>62</v>
      </c>
      <c r="H10" s="4" t="s">
        <v>21</v>
      </c>
      <c r="I10" s="2" t="s">
        <v>56</v>
      </c>
      <c r="J10" s="2" t="s">
        <v>63</v>
      </c>
      <c r="K10" s="2" t="s">
        <v>64</v>
      </c>
    </row>
    <row r="11" customFormat="false" ht="15" hidden="false" customHeight="false" outlineLevel="0" collapsed="false">
      <c r="A11" s="2" t="n">
        <v>10</v>
      </c>
      <c r="B11" s="2" t="s">
        <v>65</v>
      </c>
      <c r="C11" s="2" t="s">
        <v>66</v>
      </c>
      <c r="D11" s="2" t="s">
        <v>13</v>
      </c>
      <c r="E11" s="2" t="s">
        <v>14</v>
      </c>
      <c r="F11" s="2" t="n">
        <v>3</v>
      </c>
      <c r="G11" s="2"/>
      <c r="H11" s="4" t="s">
        <v>21</v>
      </c>
      <c r="I11" s="2" t="s">
        <v>67</v>
      </c>
      <c r="J11" s="2" t="s">
        <v>68</v>
      </c>
      <c r="K11" s="2" t="s">
        <v>69</v>
      </c>
    </row>
    <row r="12" customFormat="false" ht="15" hidden="false" customHeight="false" outlineLevel="0" collapsed="false">
      <c r="A12" s="2" t="n">
        <v>11</v>
      </c>
      <c r="B12" s="2" t="s">
        <v>70</v>
      </c>
      <c r="C12" s="2" t="s">
        <v>71</v>
      </c>
      <c r="D12" s="2" t="s">
        <v>13</v>
      </c>
      <c r="E12" s="2" t="s">
        <v>14</v>
      </c>
      <c r="F12" s="2" t="n">
        <v>1</v>
      </c>
      <c r="G12" s="2"/>
      <c r="H12" s="4" t="s">
        <v>21</v>
      </c>
      <c r="I12" s="2" t="s">
        <v>72</v>
      </c>
      <c r="J12" s="2" t="s">
        <v>73</v>
      </c>
      <c r="K12" s="2" t="s">
        <v>74</v>
      </c>
    </row>
    <row r="13" customFormat="false" ht="15" hidden="false" customHeight="false" outlineLevel="0" collapsed="false">
      <c r="A13" s="2" t="n">
        <v>12</v>
      </c>
      <c r="B13" s="2" t="s">
        <v>75</v>
      </c>
      <c r="C13" s="2" t="s">
        <v>76</v>
      </c>
      <c r="D13" s="2" t="s">
        <v>42</v>
      </c>
      <c r="E13" s="2" t="s">
        <v>43</v>
      </c>
      <c r="F13" s="2" t="n">
        <v>1</v>
      </c>
      <c r="G13" s="2" t="s">
        <v>77</v>
      </c>
      <c r="H13" s="4" t="s">
        <v>21</v>
      </c>
      <c r="I13" s="2" t="s">
        <v>78</v>
      </c>
      <c r="J13" s="2" t="s">
        <v>79</v>
      </c>
      <c r="K13" s="2" t="s">
        <v>80</v>
      </c>
    </row>
    <row r="14" customFormat="false" ht="15" hidden="false" customHeight="false" outlineLevel="0" collapsed="false">
      <c r="A14" s="2" t="n">
        <v>13</v>
      </c>
      <c r="B14" s="2" t="s">
        <v>81</v>
      </c>
      <c r="C14" s="2" t="s">
        <v>82</v>
      </c>
      <c r="D14" s="2" t="s">
        <v>61</v>
      </c>
      <c r="E14" s="2" t="s">
        <v>43</v>
      </c>
      <c r="F14" s="2" t="n">
        <v>2</v>
      </c>
      <c r="G14" s="2" t="s">
        <v>83</v>
      </c>
      <c r="H14" s="4" t="s">
        <v>21</v>
      </c>
      <c r="I14" s="2" t="s">
        <v>84</v>
      </c>
      <c r="J14" s="2" t="s">
        <v>85</v>
      </c>
      <c r="K14" s="2" t="s">
        <v>86</v>
      </c>
    </row>
    <row r="15" customFormat="false" ht="15" hidden="false" customHeight="false" outlineLevel="0" collapsed="false">
      <c r="A15" s="2" t="n">
        <v>14</v>
      </c>
      <c r="B15" s="2" t="s">
        <v>87</v>
      </c>
      <c r="C15" s="2" t="s">
        <v>88</v>
      </c>
      <c r="D15" s="2" t="s">
        <v>13</v>
      </c>
      <c r="E15" s="2" t="s">
        <v>14</v>
      </c>
      <c r="F15" s="2" t="n">
        <v>2</v>
      </c>
      <c r="G15" s="2"/>
      <c r="H15" s="4" t="s">
        <v>21</v>
      </c>
      <c r="I15" s="2" t="s">
        <v>89</v>
      </c>
      <c r="J15" s="2" t="s">
        <v>90</v>
      </c>
      <c r="K15" s="2" t="s">
        <v>91</v>
      </c>
    </row>
    <row r="16" customFormat="false" ht="15" hidden="false" customHeight="false" outlineLevel="0" collapsed="false">
      <c r="A16" s="2" t="n">
        <v>15</v>
      </c>
      <c r="B16" s="2" t="s">
        <v>92</v>
      </c>
      <c r="C16" s="2" t="s">
        <v>93</v>
      </c>
      <c r="D16" s="2" t="s">
        <v>13</v>
      </c>
      <c r="E16" s="2" t="s">
        <v>14</v>
      </c>
      <c r="F16" s="2" t="n">
        <v>1</v>
      </c>
      <c r="G16" s="2"/>
      <c r="H16" s="4" t="s">
        <v>21</v>
      </c>
      <c r="I16" s="2" t="s">
        <v>94</v>
      </c>
      <c r="J16" s="2" t="s">
        <v>95</v>
      </c>
      <c r="K16" s="2" t="s">
        <v>96</v>
      </c>
    </row>
    <row r="17" customFormat="false" ht="15" hidden="false" customHeight="false" outlineLevel="0" collapsed="false">
      <c r="A17" s="2" t="n">
        <v>16</v>
      </c>
      <c r="B17" s="2" t="s">
        <v>92</v>
      </c>
      <c r="C17" s="2" t="s">
        <v>97</v>
      </c>
      <c r="D17" s="2" t="s">
        <v>98</v>
      </c>
      <c r="E17" s="2" t="s">
        <v>14</v>
      </c>
      <c r="F17" s="2" t="n">
        <v>2</v>
      </c>
      <c r="G17" s="2"/>
      <c r="H17" s="4" t="s">
        <v>21</v>
      </c>
      <c r="I17" s="2" t="s">
        <v>99</v>
      </c>
      <c r="J17" s="2" t="s">
        <v>100</v>
      </c>
      <c r="K17" s="2" t="s">
        <v>101</v>
      </c>
    </row>
    <row r="18" customFormat="false" ht="15" hidden="false" customHeight="false" outlineLevel="0" collapsed="false">
      <c r="A18" s="2" t="n">
        <v>17</v>
      </c>
      <c r="B18" s="2" t="s">
        <v>92</v>
      </c>
      <c r="C18" s="2" t="s">
        <v>97</v>
      </c>
      <c r="D18" s="2" t="s">
        <v>42</v>
      </c>
      <c r="E18" s="2" t="s">
        <v>43</v>
      </c>
      <c r="F18" s="2" t="n">
        <v>1</v>
      </c>
      <c r="G18" s="2" t="s">
        <v>102</v>
      </c>
      <c r="H18" s="5" t="s">
        <v>45</v>
      </c>
      <c r="I18" s="2" t="s">
        <v>103</v>
      </c>
      <c r="J18" s="2" t="s">
        <v>47</v>
      </c>
      <c r="K18" s="2"/>
    </row>
    <row r="19" customFormat="false" ht="15" hidden="false" customHeight="false" outlineLevel="0" collapsed="false">
      <c r="A19" s="2" t="n">
        <v>18</v>
      </c>
      <c r="B19" s="2" t="s">
        <v>92</v>
      </c>
      <c r="C19" s="2" t="s">
        <v>104</v>
      </c>
      <c r="D19" s="2" t="s">
        <v>61</v>
      </c>
      <c r="E19" s="2" t="s">
        <v>43</v>
      </c>
      <c r="F19" s="2" t="n">
        <v>1</v>
      </c>
      <c r="G19" s="2" t="s">
        <v>105</v>
      </c>
      <c r="H19" s="3" t="s">
        <v>15</v>
      </c>
      <c r="I19" s="2" t="s">
        <v>106</v>
      </c>
      <c r="J19" s="2" t="s">
        <v>107</v>
      </c>
      <c r="K19" s="2"/>
    </row>
    <row r="20" customFormat="false" ht="15" hidden="false" customHeight="false" outlineLevel="0" collapsed="false">
      <c r="A20" s="2" t="n">
        <v>19</v>
      </c>
      <c r="B20" s="2" t="s">
        <v>108</v>
      </c>
      <c r="C20" s="2" t="s">
        <v>109</v>
      </c>
      <c r="D20" s="2" t="s">
        <v>42</v>
      </c>
      <c r="E20" s="2" t="s">
        <v>43</v>
      </c>
      <c r="F20" s="2" t="n">
        <v>1</v>
      </c>
      <c r="G20" s="2" t="s">
        <v>110</v>
      </c>
      <c r="H20" s="5" t="s">
        <v>45</v>
      </c>
      <c r="I20" s="2" t="s">
        <v>111</v>
      </c>
      <c r="J20" s="2" t="s">
        <v>47</v>
      </c>
      <c r="K20" s="2"/>
    </row>
    <row r="21" customFormat="false" ht="15" hidden="false" customHeight="false" outlineLevel="0" collapsed="false">
      <c r="A21" s="2" t="n">
        <v>20</v>
      </c>
      <c r="B21" s="2" t="s">
        <v>112</v>
      </c>
      <c r="C21" s="2" t="s">
        <v>113</v>
      </c>
      <c r="D21" s="2" t="s">
        <v>13</v>
      </c>
      <c r="E21" s="2" t="s">
        <v>14</v>
      </c>
      <c r="F21" s="2" t="n">
        <v>2</v>
      </c>
      <c r="G21" s="2"/>
      <c r="H21" s="4" t="s">
        <v>21</v>
      </c>
      <c r="I21" s="2" t="s">
        <v>114</v>
      </c>
      <c r="J21" s="2" t="s">
        <v>115</v>
      </c>
      <c r="K21" s="2" t="s">
        <v>116</v>
      </c>
    </row>
    <row r="22" customFormat="false" ht="15" hidden="false" customHeight="false" outlineLevel="0" collapsed="false">
      <c r="A22" s="2" t="n">
        <v>21</v>
      </c>
      <c r="B22" s="2" t="s">
        <v>117</v>
      </c>
      <c r="C22" s="2" t="s">
        <v>118</v>
      </c>
      <c r="D22" s="2" t="s">
        <v>13</v>
      </c>
      <c r="E22" s="2" t="s">
        <v>14</v>
      </c>
      <c r="F22" s="2" t="n">
        <v>1</v>
      </c>
      <c r="G22" s="2"/>
      <c r="H22" s="4" t="s">
        <v>21</v>
      </c>
      <c r="I22" s="2" t="s">
        <v>119</v>
      </c>
      <c r="J22" s="2" t="s">
        <v>120</v>
      </c>
      <c r="K22" s="2" t="s">
        <v>121</v>
      </c>
    </row>
    <row r="23" customFormat="false" ht="15" hidden="false" customHeight="false" outlineLevel="0" collapsed="false">
      <c r="A23" s="2" t="n">
        <v>22</v>
      </c>
      <c r="B23" s="2" t="s">
        <v>122</v>
      </c>
      <c r="C23" s="2" t="s">
        <v>123</v>
      </c>
      <c r="D23" s="2" t="s">
        <v>13</v>
      </c>
      <c r="E23" s="2" t="s">
        <v>14</v>
      </c>
      <c r="F23" s="2" t="n">
        <v>2</v>
      </c>
      <c r="G23" s="2"/>
      <c r="H23" s="3" t="s">
        <v>15</v>
      </c>
      <c r="I23" s="2" t="s">
        <v>37</v>
      </c>
      <c r="J23" s="2" t="s">
        <v>124</v>
      </c>
      <c r="K23" s="2" t="s">
        <v>125</v>
      </c>
    </row>
    <row r="24" customFormat="false" ht="15" hidden="false" customHeight="false" outlineLevel="0" collapsed="false">
      <c r="A24" s="2" t="n">
        <v>23</v>
      </c>
      <c r="B24" s="2" t="s">
        <v>126</v>
      </c>
      <c r="C24" s="2" t="s">
        <v>127</v>
      </c>
      <c r="D24" s="2" t="s">
        <v>61</v>
      </c>
      <c r="E24" s="2" t="s">
        <v>43</v>
      </c>
      <c r="F24" s="2" t="n">
        <v>1</v>
      </c>
      <c r="G24" s="2" t="s">
        <v>128</v>
      </c>
      <c r="H24" s="3" t="s">
        <v>15</v>
      </c>
      <c r="I24" s="2" t="s">
        <v>106</v>
      </c>
      <c r="J24" s="2" t="s">
        <v>129</v>
      </c>
      <c r="K24" s="2"/>
    </row>
    <row r="25" customFormat="false" ht="15" hidden="false" customHeight="false" outlineLevel="0" collapsed="false">
      <c r="A25" s="2" t="n">
        <v>24</v>
      </c>
      <c r="B25" s="2" t="s">
        <v>130</v>
      </c>
      <c r="C25" s="2" t="s">
        <v>131</v>
      </c>
      <c r="D25" s="2" t="s">
        <v>61</v>
      </c>
      <c r="E25" s="2" t="s">
        <v>43</v>
      </c>
      <c r="F25" s="2" t="n">
        <v>1</v>
      </c>
      <c r="G25" s="2" t="s">
        <v>132</v>
      </c>
      <c r="H25" s="3" t="s">
        <v>15</v>
      </c>
      <c r="I25" s="2" t="s">
        <v>133</v>
      </c>
      <c r="J25" s="2" t="s">
        <v>134</v>
      </c>
      <c r="K25" s="2" t="s">
        <v>135</v>
      </c>
    </row>
    <row r="26" customFormat="false" ht="15" hidden="false" customHeight="false" outlineLevel="0" collapsed="false">
      <c r="A26" s="2" t="n">
        <v>25</v>
      </c>
      <c r="B26" s="2" t="s">
        <v>136</v>
      </c>
      <c r="C26" s="2" t="s">
        <v>137</v>
      </c>
      <c r="D26" s="2" t="s">
        <v>61</v>
      </c>
      <c r="E26" s="2" t="s">
        <v>43</v>
      </c>
      <c r="F26" s="2" t="n">
        <v>3</v>
      </c>
      <c r="G26" s="2" t="s">
        <v>138</v>
      </c>
      <c r="H26" s="3" t="s">
        <v>15</v>
      </c>
      <c r="I26" s="2" t="s">
        <v>106</v>
      </c>
      <c r="J26" s="2" t="s">
        <v>139</v>
      </c>
      <c r="K26" s="2"/>
    </row>
    <row r="27" customFormat="false" ht="15" hidden="false" customHeight="false" outlineLevel="0" collapsed="false">
      <c r="A27" s="2" t="n">
        <v>26</v>
      </c>
      <c r="B27" s="2" t="s">
        <v>140</v>
      </c>
      <c r="C27" s="2" t="s">
        <v>141</v>
      </c>
      <c r="D27" s="2" t="s">
        <v>42</v>
      </c>
      <c r="E27" s="2" t="s">
        <v>43</v>
      </c>
      <c r="F27" s="2" t="n">
        <v>1</v>
      </c>
      <c r="G27" s="2" t="s">
        <v>142</v>
      </c>
      <c r="H27" s="5" t="s">
        <v>45</v>
      </c>
      <c r="I27" s="2" t="s">
        <v>103</v>
      </c>
      <c r="J27" s="2" t="s">
        <v>47</v>
      </c>
      <c r="K27" s="2"/>
    </row>
    <row r="28" customFormat="false" ht="15" hidden="false" customHeight="false" outlineLevel="0" collapsed="false">
      <c r="A28" s="2" t="n">
        <v>27</v>
      </c>
      <c r="B28" s="2" t="s">
        <v>143</v>
      </c>
      <c r="C28" s="2" t="s">
        <v>144</v>
      </c>
      <c r="D28" s="2" t="s">
        <v>20</v>
      </c>
      <c r="E28" s="2" t="s">
        <v>14</v>
      </c>
      <c r="F28" s="2" t="n">
        <v>1</v>
      </c>
      <c r="G28" s="2"/>
      <c r="H28" s="5" t="s">
        <v>45</v>
      </c>
      <c r="I28" s="2" t="s">
        <v>145</v>
      </c>
      <c r="J28" s="2" t="s">
        <v>146</v>
      </c>
      <c r="K28" s="2" t="s">
        <v>147</v>
      </c>
    </row>
    <row r="29" customFormat="false" ht="15" hidden="false" customHeight="false" outlineLevel="0" collapsed="false">
      <c r="A29" s="2" t="n">
        <v>28</v>
      </c>
      <c r="B29" s="2" t="s">
        <v>148</v>
      </c>
      <c r="C29" s="2" t="s">
        <v>26</v>
      </c>
      <c r="D29" s="2" t="s">
        <v>61</v>
      </c>
      <c r="E29" s="2" t="s">
        <v>43</v>
      </c>
      <c r="F29" s="2" t="n">
        <v>1</v>
      </c>
      <c r="G29" s="2" t="s">
        <v>149</v>
      </c>
      <c r="H29" s="4" t="s">
        <v>21</v>
      </c>
      <c r="I29" s="2" t="s">
        <v>56</v>
      </c>
      <c r="J29" s="2" t="s">
        <v>150</v>
      </c>
      <c r="K29" s="2" t="s">
        <v>151</v>
      </c>
    </row>
    <row r="30" customFormat="false" ht="15" hidden="false" customHeight="false" outlineLevel="0" collapsed="false">
      <c r="A30" s="2" t="n">
        <v>29</v>
      </c>
      <c r="B30" s="2" t="s">
        <v>152</v>
      </c>
      <c r="C30" s="2" t="s">
        <v>153</v>
      </c>
      <c r="D30" s="2" t="s">
        <v>61</v>
      </c>
      <c r="E30" s="2" t="s">
        <v>43</v>
      </c>
      <c r="F30" s="2" t="n">
        <v>1</v>
      </c>
      <c r="G30" s="2" t="s">
        <v>154</v>
      </c>
      <c r="H30" s="3" t="s">
        <v>15</v>
      </c>
      <c r="I30" s="2" t="s">
        <v>106</v>
      </c>
      <c r="J30" s="2" t="s">
        <v>155</v>
      </c>
      <c r="K30" s="2"/>
    </row>
    <row r="31" customFormat="false" ht="15" hidden="false" customHeight="false" outlineLevel="0" collapsed="false">
      <c r="A31" s="2" t="n">
        <v>30</v>
      </c>
      <c r="B31" s="2" t="s">
        <v>156</v>
      </c>
      <c r="C31" s="2" t="s">
        <v>157</v>
      </c>
      <c r="D31" s="2" t="s">
        <v>42</v>
      </c>
      <c r="E31" s="2" t="s">
        <v>43</v>
      </c>
      <c r="F31" s="2" t="n">
        <v>1</v>
      </c>
      <c r="G31" s="2" t="s">
        <v>158</v>
      </c>
      <c r="H31" s="3" t="s">
        <v>15</v>
      </c>
      <c r="I31" s="2" t="s">
        <v>106</v>
      </c>
      <c r="J31" s="2" t="s">
        <v>159</v>
      </c>
      <c r="K31" s="2"/>
    </row>
    <row r="32" customFormat="false" ht="15" hidden="false" customHeight="false" outlineLevel="0" collapsed="false">
      <c r="A32" s="2" t="n">
        <v>31</v>
      </c>
      <c r="B32" s="2" t="s">
        <v>160</v>
      </c>
      <c r="C32" s="2" t="s">
        <v>161</v>
      </c>
      <c r="D32" s="2" t="s">
        <v>13</v>
      </c>
      <c r="E32" s="2" t="s">
        <v>14</v>
      </c>
      <c r="F32" s="2" t="n">
        <v>1</v>
      </c>
      <c r="G32" s="2"/>
      <c r="H32" s="4" t="s">
        <v>21</v>
      </c>
      <c r="I32" s="2" t="s">
        <v>162</v>
      </c>
      <c r="J32" s="2" t="s">
        <v>163</v>
      </c>
      <c r="K32" s="2" t="s">
        <v>164</v>
      </c>
    </row>
    <row r="33" customFormat="false" ht="15" hidden="false" customHeight="false" outlineLevel="0" collapsed="false">
      <c r="A33" s="2" t="n">
        <v>32</v>
      </c>
      <c r="B33" s="2" t="s">
        <v>165</v>
      </c>
      <c r="C33" s="2" t="s">
        <v>166</v>
      </c>
      <c r="D33" s="2" t="s">
        <v>42</v>
      </c>
      <c r="E33" s="2" t="s">
        <v>43</v>
      </c>
      <c r="F33" s="2" t="n">
        <v>1</v>
      </c>
      <c r="G33" s="2" t="s">
        <v>167</v>
      </c>
      <c r="H33" s="3" t="s">
        <v>15</v>
      </c>
      <c r="I33" s="2" t="s">
        <v>106</v>
      </c>
      <c r="J33" s="2" t="s">
        <v>168</v>
      </c>
      <c r="K33" s="2"/>
    </row>
    <row r="34" customFormat="false" ht="15" hidden="false" customHeight="false" outlineLevel="0" collapsed="false">
      <c r="A34" s="2" t="n">
        <v>33</v>
      </c>
      <c r="B34" s="2" t="s">
        <v>169</v>
      </c>
      <c r="C34" s="2" t="s">
        <v>170</v>
      </c>
      <c r="D34" s="2" t="s">
        <v>98</v>
      </c>
      <c r="E34" s="2" t="s">
        <v>14</v>
      </c>
      <c r="F34" s="2" t="n">
        <v>2</v>
      </c>
      <c r="G34" s="2"/>
      <c r="H34" s="4" t="s">
        <v>21</v>
      </c>
      <c r="I34" s="2" t="s">
        <v>171</v>
      </c>
      <c r="J34" s="2" t="s">
        <v>172</v>
      </c>
      <c r="K34" s="2" t="s">
        <v>173</v>
      </c>
    </row>
    <row r="35" customFormat="false" ht="15" hidden="false" customHeight="false" outlineLevel="0" collapsed="false">
      <c r="A35" s="2" t="n">
        <v>34</v>
      </c>
      <c r="B35" s="2" t="s">
        <v>174</v>
      </c>
      <c r="C35" s="2" t="s">
        <v>175</v>
      </c>
      <c r="D35" s="2" t="s">
        <v>13</v>
      </c>
      <c r="E35" s="2" t="s">
        <v>14</v>
      </c>
      <c r="F35" s="2" t="n">
        <v>1</v>
      </c>
      <c r="G35" s="2"/>
      <c r="H35" s="4" t="s">
        <v>21</v>
      </c>
      <c r="I35" s="2" t="s">
        <v>176</v>
      </c>
      <c r="J35" s="2" t="s">
        <v>177</v>
      </c>
      <c r="K35" s="2" t="s">
        <v>178</v>
      </c>
    </row>
    <row r="36" customFormat="false" ht="15" hidden="false" customHeight="false" outlineLevel="0" collapsed="false">
      <c r="A36" s="2" t="n">
        <v>35</v>
      </c>
      <c r="B36" s="2" t="s">
        <v>179</v>
      </c>
      <c r="C36" s="2" t="s">
        <v>180</v>
      </c>
      <c r="D36" s="2" t="s">
        <v>181</v>
      </c>
      <c r="E36" s="2" t="s">
        <v>182</v>
      </c>
      <c r="F36" s="2" t="n">
        <v>2</v>
      </c>
      <c r="G36" s="2" t="s">
        <v>183</v>
      </c>
      <c r="H36" s="4" t="s">
        <v>21</v>
      </c>
      <c r="I36" s="2" t="s">
        <v>184</v>
      </c>
      <c r="J36" s="2" t="s">
        <v>185</v>
      </c>
      <c r="K36" s="2" t="s">
        <v>186</v>
      </c>
    </row>
    <row r="37" customFormat="false" ht="15" hidden="false" customHeight="false" outlineLevel="0" collapsed="false">
      <c r="A37" s="2" t="n">
        <v>36</v>
      </c>
      <c r="B37" s="2" t="s">
        <v>187</v>
      </c>
      <c r="C37" s="2" t="s">
        <v>93</v>
      </c>
      <c r="D37" s="2" t="s">
        <v>61</v>
      </c>
      <c r="E37" s="2" t="s">
        <v>43</v>
      </c>
      <c r="F37" s="2" t="n">
        <v>2</v>
      </c>
      <c r="G37" s="2" t="s">
        <v>188</v>
      </c>
      <c r="H37" s="3" t="s">
        <v>15</v>
      </c>
      <c r="I37" s="2" t="s">
        <v>106</v>
      </c>
      <c r="J37" s="2" t="s">
        <v>189</v>
      </c>
      <c r="K37" s="2"/>
    </row>
    <row r="38" customFormat="false" ht="15" hidden="false" customHeight="false" outlineLevel="0" collapsed="false">
      <c r="A38" s="2" t="n">
        <v>37</v>
      </c>
      <c r="B38" s="2" t="s">
        <v>190</v>
      </c>
      <c r="C38" s="2" t="s">
        <v>191</v>
      </c>
      <c r="D38" s="2" t="s">
        <v>20</v>
      </c>
      <c r="E38" s="2" t="s">
        <v>14</v>
      </c>
      <c r="F38" s="2" t="n">
        <v>1</v>
      </c>
      <c r="G38" s="2"/>
      <c r="H38" s="4" t="s">
        <v>21</v>
      </c>
      <c r="I38" s="2" t="s">
        <v>192</v>
      </c>
      <c r="J38" s="2" t="s">
        <v>193</v>
      </c>
      <c r="K38" s="2" t="s">
        <v>194</v>
      </c>
    </row>
    <row r="39" customFormat="false" ht="15" hidden="false" customHeight="false" outlineLevel="0" collapsed="false">
      <c r="A39" s="2" t="n">
        <v>38</v>
      </c>
      <c r="B39" s="2" t="s">
        <v>195</v>
      </c>
      <c r="C39" s="2" t="s">
        <v>196</v>
      </c>
      <c r="D39" s="2" t="s">
        <v>13</v>
      </c>
      <c r="E39" s="2" t="s">
        <v>14</v>
      </c>
      <c r="F39" s="2" t="n">
        <v>2</v>
      </c>
      <c r="G39" s="2"/>
      <c r="H39" s="4" t="s">
        <v>21</v>
      </c>
      <c r="I39" s="2" t="s">
        <v>197</v>
      </c>
      <c r="J39" s="2" t="s">
        <v>198</v>
      </c>
      <c r="K39" s="2" t="s">
        <v>199</v>
      </c>
    </row>
    <row r="40" customFormat="false" ht="15" hidden="false" customHeight="false" outlineLevel="0" collapsed="false">
      <c r="A40" s="2" t="n">
        <v>39</v>
      </c>
      <c r="B40" s="2" t="s">
        <v>200</v>
      </c>
      <c r="C40" s="2" t="s">
        <v>201</v>
      </c>
      <c r="D40" s="2" t="s">
        <v>13</v>
      </c>
      <c r="E40" s="2" t="s">
        <v>14</v>
      </c>
      <c r="F40" s="2" t="n">
        <v>4</v>
      </c>
      <c r="G40" s="2"/>
      <c r="H40" s="4" t="s">
        <v>21</v>
      </c>
      <c r="I40" s="2" t="s">
        <v>197</v>
      </c>
      <c r="J40" s="2" t="s">
        <v>202</v>
      </c>
      <c r="K40" s="2" t="s">
        <v>203</v>
      </c>
    </row>
    <row r="41" customFormat="false" ht="15" hidden="false" customHeight="false" outlineLevel="0" collapsed="false">
      <c r="A41" s="2" t="n">
        <v>40</v>
      </c>
      <c r="B41" s="2" t="s">
        <v>204</v>
      </c>
      <c r="C41" s="2" t="s">
        <v>205</v>
      </c>
      <c r="D41" s="2" t="s">
        <v>61</v>
      </c>
      <c r="E41" s="2" t="s">
        <v>43</v>
      </c>
      <c r="F41" s="2" t="n">
        <v>1</v>
      </c>
      <c r="G41" s="2" t="s">
        <v>206</v>
      </c>
      <c r="H41" s="3" t="s">
        <v>15</v>
      </c>
      <c r="I41" s="2" t="s">
        <v>106</v>
      </c>
      <c r="J41" s="2" t="s">
        <v>207</v>
      </c>
      <c r="K41" s="2"/>
    </row>
    <row r="42" customFormat="false" ht="15" hidden="false" customHeight="false" outlineLevel="0" collapsed="false">
      <c r="A42" s="2" t="n">
        <v>41</v>
      </c>
      <c r="B42" s="2" t="s">
        <v>208</v>
      </c>
      <c r="C42" s="2" t="s">
        <v>153</v>
      </c>
      <c r="D42" s="2" t="s">
        <v>42</v>
      </c>
      <c r="E42" s="2" t="s">
        <v>43</v>
      </c>
      <c r="F42" s="2" t="n">
        <v>2</v>
      </c>
      <c r="G42" s="2" t="s">
        <v>209</v>
      </c>
      <c r="H42" s="4" t="s">
        <v>21</v>
      </c>
      <c r="I42" s="2" t="s">
        <v>210</v>
      </c>
      <c r="J42" s="2" t="s">
        <v>211</v>
      </c>
      <c r="K42" s="2" t="s">
        <v>212</v>
      </c>
    </row>
    <row r="43" customFormat="false" ht="15" hidden="false" customHeight="false" outlineLevel="0" collapsed="false">
      <c r="A43" s="2" t="n">
        <v>42</v>
      </c>
      <c r="B43" s="2" t="s">
        <v>213</v>
      </c>
      <c r="C43" s="2" t="s">
        <v>214</v>
      </c>
      <c r="D43" s="2" t="s">
        <v>42</v>
      </c>
      <c r="E43" s="2" t="s">
        <v>43</v>
      </c>
      <c r="F43" s="2" t="n">
        <v>1</v>
      </c>
      <c r="G43" s="2" t="s">
        <v>215</v>
      </c>
      <c r="H43" s="4" t="s">
        <v>21</v>
      </c>
      <c r="I43" s="2" t="s">
        <v>216</v>
      </c>
      <c r="J43" s="2" t="s">
        <v>217</v>
      </c>
      <c r="K43" s="2" t="s">
        <v>218</v>
      </c>
    </row>
    <row r="44" customFormat="false" ht="15" hidden="false" customHeight="false" outlineLevel="0" collapsed="false">
      <c r="A44" s="2" t="n">
        <v>43</v>
      </c>
      <c r="B44" s="2" t="s">
        <v>219</v>
      </c>
      <c r="C44" s="2" t="s">
        <v>180</v>
      </c>
      <c r="D44" s="2" t="s">
        <v>13</v>
      </c>
      <c r="E44" s="2" t="s">
        <v>14</v>
      </c>
      <c r="F44" s="2" t="n">
        <v>1</v>
      </c>
      <c r="G44" s="2"/>
      <c r="H44" s="3" t="s">
        <v>15</v>
      </c>
      <c r="I44" s="2" t="s">
        <v>220</v>
      </c>
      <c r="J44" s="2" t="s">
        <v>221</v>
      </c>
      <c r="K44" s="2" t="s">
        <v>222</v>
      </c>
    </row>
    <row r="45" customFormat="false" ht="15" hidden="false" customHeight="false" outlineLevel="0" collapsed="false">
      <c r="A45" s="2" t="n">
        <v>44</v>
      </c>
      <c r="B45" s="2" t="s">
        <v>223</v>
      </c>
      <c r="C45" s="2" t="s">
        <v>224</v>
      </c>
      <c r="D45" s="2" t="s">
        <v>61</v>
      </c>
      <c r="E45" s="2" t="s">
        <v>43</v>
      </c>
      <c r="F45" s="2" t="n">
        <v>1</v>
      </c>
      <c r="G45" s="2" t="s">
        <v>225</v>
      </c>
      <c r="H45" s="3" t="s">
        <v>15</v>
      </c>
      <c r="I45" s="2" t="s">
        <v>226</v>
      </c>
      <c r="J45" s="2" t="s">
        <v>227</v>
      </c>
      <c r="K45" s="2"/>
    </row>
    <row r="46" customFormat="false" ht="15" hidden="false" customHeight="false" outlineLevel="0" collapsed="false">
      <c r="A46" s="2" t="n">
        <v>45</v>
      </c>
      <c r="B46" s="2" t="s">
        <v>228</v>
      </c>
      <c r="C46" s="2" t="s">
        <v>229</v>
      </c>
      <c r="D46" s="2" t="s">
        <v>42</v>
      </c>
      <c r="E46" s="2" t="s">
        <v>43</v>
      </c>
      <c r="F46" s="2" t="n">
        <v>1</v>
      </c>
      <c r="G46" s="2" t="s">
        <v>230</v>
      </c>
      <c r="H46" s="4" t="s">
        <v>21</v>
      </c>
      <c r="I46" s="2" t="s">
        <v>231</v>
      </c>
      <c r="J46" s="2" t="s">
        <v>232</v>
      </c>
      <c r="K46" s="2" t="s">
        <v>233</v>
      </c>
    </row>
    <row r="47" customFormat="false" ht="15" hidden="false" customHeight="false" outlineLevel="0" collapsed="false">
      <c r="A47" s="2" t="n">
        <v>46</v>
      </c>
      <c r="B47" s="2" t="s">
        <v>234</v>
      </c>
      <c r="C47" s="2" t="s">
        <v>235</v>
      </c>
      <c r="D47" s="2" t="s">
        <v>61</v>
      </c>
      <c r="E47" s="2" t="s">
        <v>43</v>
      </c>
      <c r="F47" s="2" t="n">
        <v>1</v>
      </c>
      <c r="G47" s="2" t="s">
        <v>236</v>
      </c>
      <c r="H47" s="3" t="s">
        <v>15</v>
      </c>
      <c r="I47" s="2" t="s">
        <v>237</v>
      </c>
      <c r="J47" s="2" t="s">
        <v>238</v>
      </c>
      <c r="K47" s="2"/>
    </row>
    <row r="48" customFormat="false" ht="15" hidden="false" customHeight="false" outlineLevel="0" collapsed="false">
      <c r="A48" s="2" t="n">
        <v>47</v>
      </c>
      <c r="B48" s="2" t="s">
        <v>239</v>
      </c>
      <c r="C48" s="2" t="s">
        <v>240</v>
      </c>
      <c r="D48" s="2" t="s">
        <v>42</v>
      </c>
      <c r="E48" s="2" t="s">
        <v>43</v>
      </c>
      <c r="F48" s="2" t="n">
        <v>1</v>
      </c>
      <c r="G48" s="2" t="s">
        <v>241</v>
      </c>
      <c r="H48" s="4" t="s">
        <v>21</v>
      </c>
      <c r="I48" s="2" t="s">
        <v>242</v>
      </c>
      <c r="J48" s="2" t="s">
        <v>243</v>
      </c>
      <c r="K48" s="2" t="s">
        <v>244</v>
      </c>
    </row>
    <row r="49" customFormat="false" ht="15" hidden="false" customHeight="false" outlineLevel="0" collapsed="false">
      <c r="A49" s="2" t="n">
        <v>48</v>
      </c>
      <c r="B49" s="2" t="s">
        <v>245</v>
      </c>
      <c r="C49" s="2" t="s">
        <v>246</v>
      </c>
      <c r="D49" s="2" t="s">
        <v>13</v>
      </c>
      <c r="E49" s="2" t="s">
        <v>14</v>
      </c>
      <c r="F49" s="2" t="n">
        <v>1</v>
      </c>
      <c r="G49" s="2"/>
      <c r="H49" s="4" t="s">
        <v>21</v>
      </c>
      <c r="I49" s="2" t="s">
        <v>247</v>
      </c>
      <c r="J49" s="2" t="s">
        <v>248</v>
      </c>
      <c r="K49" s="2" t="s">
        <v>249</v>
      </c>
    </row>
    <row r="50" customFormat="false" ht="15" hidden="false" customHeight="false" outlineLevel="0" collapsed="false">
      <c r="A50" s="2" t="n">
        <v>49</v>
      </c>
      <c r="B50" s="2" t="s">
        <v>250</v>
      </c>
      <c r="C50" s="2" t="s">
        <v>251</v>
      </c>
      <c r="D50" s="2" t="s">
        <v>42</v>
      </c>
      <c r="E50" s="2" t="s">
        <v>43</v>
      </c>
      <c r="F50" s="2" t="n">
        <v>1</v>
      </c>
      <c r="G50" s="2" t="s">
        <v>252</v>
      </c>
      <c r="H50" s="4" t="s">
        <v>21</v>
      </c>
      <c r="I50" s="2" t="s">
        <v>253</v>
      </c>
      <c r="J50" s="2" t="s">
        <v>254</v>
      </c>
      <c r="K50" s="2" t="s">
        <v>255</v>
      </c>
    </row>
    <row r="51" customFormat="false" ht="15" hidden="false" customHeight="false" outlineLevel="0" collapsed="false">
      <c r="A51" s="2" t="n">
        <v>50</v>
      </c>
      <c r="B51" s="2" t="s">
        <v>256</v>
      </c>
      <c r="C51" s="2" t="s">
        <v>257</v>
      </c>
      <c r="D51" s="2" t="s">
        <v>258</v>
      </c>
      <c r="E51" s="2" t="s">
        <v>43</v>
      </c>
      <c r="F51" s="2" t="n">
        <v>2</v>
      </c>
      <c r="G51" s="2" t="s">
        <v>259</v>
      </c>
      <c r="H51" s="4" t="s">
        <v>21</v>
      </c>
      <c r="I51" s="2" t="s">
        <v>260</v>
      </c>
      <c r="J51" s="2" t="s">
        <v>261</v>
      </c>
      <c r="K51" s="2" t="s">
        <v>262</v>
      </c>
    </row>
    <row r="52" customFormat="false" ht="15" hidden="false" customHeight="false" outlineLevel="0" collapsed="false">
      <c r="A52" s="2" t="n">
        <v>51</v>
      </c>
      <c r="B52" s="2" t="s">
        <v>263</v>
      </c>
      <c r="C52" s="2" t="s">
        <v>264</v>
      </c>
      <c r="D52" s="2" t="s">
        <v>98</v>
      </c>
      <c r="E52" s="2" t="s">
        <v>14</v>
      </c>
      <c r="F52" s="2" t="n">
        <v>2</v>
      </c>
      <c r="G52" s="2"/>
      <c r="H52" s="4" t="s">
        <v>21</v>
      </c>
      <c r="I52" s="2" t="s">
        <v>197</v>
      </c>
      <c r="J52" s="2" t="s">
        <v>265</v>
      </c>
      <c r="K52" s="2" t="s">
        <v>266</v>
      </c>
    </row>
    <row r="53" customFormat="false" ht="15" hidden="false" customHeight="false" outlineLevel="0" collapsed="false">
      <c r="A53" s="2" t="n">
        <v>52</v>
      </c>
      <c r="B53" s="2" t="s">
        <v>267</v>
      </c>
      <c r="C53" s="2" t="s">
        <v>268</v>
      </c>
      <c r="D53" s="2" t="s">
        <v>20</v>
      </c>
      <c r="E53" s="2" t="s">
        <v>14</v>
      </c>
      <c r="F53" s="2" t="n">
        <v>1</v>
      </c>
      <c r="G53" s="2"/>
      <c r="H53" s="4" t="s">
        <v>21</v>
      </c>
      <c r="I53" s="2" t="s">
        <v>176</v>
      </c>
      <c r="J53" s="2" t="s">
        <v>269</v>
      </c>
      <c r="K53" s="2" t="s">
        <v>270</v>
      </c>
    </row>
    <row r="54" customFormat="false" ht="15" hidden="false" customHeight="false" outlineLevel="0" collapsed="false">
      <c r="A54" s="2" t="n">
        <v>53</v>
      </c>
      <c r="B54" s="2" t="s">
        <v>271</v>
      </c>
      <c r="C54" s="2" t="s">
        <v>272</v>
      </c>
      <c r="D54" s="2" t="s">
        <v>61</v>
      </c>
      <c r="E54" s="2" t="s">
        <v>43</v>
      </c>
      <c r="F54" s="2" t="n">
        <v>1</v>
      </c>
      <c r="G54" s="2" t="s">
        <v>273</v>
      </c>
      <c r="H54" s="4" t="s">
        <v>21</v>
      </c>
      <c r="I54" s="2" t="s">
        <v>184</v>
      </c>
      <c r="J54" s="2" t="s">
        <v>274</v>
      </c>
      <c r="K54" s="2" t="s">
        <v>275</v>
      </c>
    </row>
    <row r="55" customFormat="false" ht="15" hidden="false" customHeight="false" outlineLevel="0" collapsed="false">
      <c r="A55" s="2" t="n">
        <v>54</v>
      </c>
      <c r="B55" s="2" t="s">
        <v>276</v>
      </c>
      <c r="C55" s="2" t="s">
        <v>277</v>
      </c>
      <c r="D55" s="2" t="s">
        <v>42</v>
      </c>
      <c r="E55" s="2" t="s">
        <v>43</v>
      </c>
      <c r="F55" s="2" t="n">
        <v>1</v>
      </c>
      <c r="G55" s="2" t="s">
        <v>278</v>
      </c>
      <c r="H55" s="4" t="s">
        <v>21</v>
      </c>
      <c r="I55" s="2" t="s">
        <v>279</v>
      </c>
      <c r="J55" s="2" t="s">
        <v>280</v>
      </c>
      <c r="K55" s="2" t="s">
        <v>244</v>
      </c>
    </row>
    <row r="56" customFormat="false" ht="15" hidden="false" customHeight="false" outlineLevel="0" collapsed="false">
      <c r="A56" s="2" t="n">
        <v>55</v>
      </c>
      <c r="B56" s="2" t="s">
        <v>281</v>
      </c>
      <c r="C56" s="2" t="s">
        <v>282</v>
      </c>
      <c r="D56" s="2" t="s">
        <v>13</v>
      </c>
      <c r="E56" s="2" t="s">
        <v>14</v>
      </c>
      <c r="F56" s="2" t="n">
        <v>1</v>
      </c>
      <c r="G56" s="2"/>
      <c r="H56" s="4" t="s">
        <v>21</v>
      </c>
      <c r="I56" s="2" t="s">
        <v>283</v>
      </c>
      <c r="J56" s="2" t="s">
        <v>284</v>
      </c>
      <c r="K56" s="2" t="s">
        <v>285</v>
      </c>
    </row>
    <row r="57" customFormat="false" ht="15" hidden="false" customHeight="false" outlineLevel="0" collapsed="false">
      <c r="A57" s="2" t="n">
        <v>56</v>
      </c>
      <c r="B57" s="2" t="s">
        <v>286</v>
      </c>
      <c r="C57" s="2" t="s">
        <v>287</v>
      </c>
      <c r="D57" s="2" t="s">
        <v>13</v>
      </c>
      <c r="E57" s="2" t="s">
        <v>14</v>
      </c>
      <c r="F57" s="2" t="n">
        <v>1</v>
      </c>
      <c r="G57" s="2"/>
      <c r="H57" s="4" t="s">
        <v>21</v>
      </c>
      <c r="I57" s="2" t="s">
        <v>288</v>
      </c>
      <c r="J57" s="2" t="s">
        <v>289</v>
      </c>
      <c r="K57" s="2" t="s">
        <v>290</v>
      </c>
    </row>
    <row r="58" customFormat="false" ht="15" hidden="false" customHeight="false" outlineLevel="0" collapsed="false">
      <c r="A58" s="2" t="n">
        <v>57</v>
      </c>
      <c r="B58" s="2" t="s">
        <v>291</v>
      </c>
      <c r="C58" s="2" t="s">
        <v>292</v>
      </c>
      <c r="D58" s="2" t="s">
        <v>20</v>
      </c>
      <c r="E58" s="2" t="s">
        <v>14</v>
      </c>
      <c r="F58" s="2" t="n">
        <v>1</v>
      </c>
      <c r="G58" s="2"/>
      <c r="H58" s="5" t="s">
        <v>45</v>
      </c>
      <c r="I58" s="2" t="s">
        <v>293</v>
      </c>
      <c r="J58" s="2" t="s">
        <v>294</v>
      </c>
      <c r="K58" s="2" t="s">
        <v>295</v>
      </c>
    </row>
    <row r="59" customFormat="false" ht="15" hidden="false" customHeight="false" outlineLevel="0" collapsed="false">
      <c r="A59" s="2" t="n">
        <v>58</v>
      </c>
      <c r="B59" s="2" t="s">
        <v>296</v>
      </c>
      <c r="C59" s="2" t="s">
        <v>297</v>
      </c>
      <c r="D59" s="2" t="s">
        <v>13</v>
      </c>
      <c r="E59" s="2" t="s">
        <v>14</v>
      </c>
      <c r="F59" s="2" t="n">
        <v>1</v>
      </c>
      <c r="G59" s="2"/>
      <c r="H59" s="4" t="s">
        <v>21</v>
      </c>
      <c r="I59" s="2" t="s">
        <v>298</v>
      </c>
      <c r="J59" s="2" t="s">
        <v>299</v>
      </c>
      <c r="K59" s="2" t="s">
        <v>300</v>
      </c>
    </row>
    <row r="60" customFormat="false" ht="15" hidden="false" customHeight="false" outlineLevel="0" collapsed="false">
      <c r="A60" s="2" t="n">
        <v>59</v>
      </c>
      <c r="B60" s="2" t="s">
        <v>301</v>
      </c>
      <c r="C60" s="2" t="s">
        <v>302</v>
      </c>
      <c r="D60" s="2" t="s">
        <v>13</v>
      </c>
      <c r="E60" s="2" t="s">
        <v>14</v>
      </c>
      <c r="F60" s="2" t="n">
        <v>2</v>
      </c>
      <c r="G60" s="2"/>
      <c r="H60" s="4" t="s">
        <v>21</v>
      </c>
      <c r="I60" s="2" t="s">
        <v>303</v>
      </c>
      <c r="J60" s="2" t="s">
        <v>304</v>
      </c>
      <c r="K60" s="2" t="s">
        <v>305</v>
      </c>
    </row>
    <row r="61" customFormat="false" ht="15" hidden="false" customHeight="false" outlineLevel="0" collapsed="false">
      <c r="A61" s="2" t="n">
        <v>60</v>
      </c>
      <c r="B61" s="2" t="s">
        <v>306</v>
      </c>
      <c r="C61" s="2" t="s">
        <v>307</v>
      </c>
      <c r="D61" s="2" t="s">
        <v>61</v>
      </c>
      <c r="E61" s="2" t="s">
        <v>43</v>
      </c>
      <c r="F61" s="2" t="n">
        <v>2</v>
      </c>
      <c r="G61" s="2" t="s">
        <v>308</v>
      </c>
      <c r="H61" s="4" t="s">
        <v>21</v>
      </c>
      <c r="I61" s="2" t="s">
        <v>309</v>
      </c>
      <c r="J61" s="2" t="s">
        <v>310</v>
      </c>
      <c r="K61" s="2" t="s">
        <v>311</v>
      </c>
    </row>
    <row r="62" customFormat="false" ht="15" hidden="false" customHeight="false" outlineLevel="0" collapsed="false">
      <c r="A62" s="2" t="n">
        <v>61</v>
      </c>
      <c r="B62" s="2" t="s">
        <v>312</v>
      </c>
      <c r="C62" s="2" t="s">
        <v>313</v>
      </c>
      <c r="D62" s="2" t="s">
        <v>314</v>
      </c>
      <c r="E62" s="2" t="s">
        <v>182</v>
      </c>
      <c r="F62" s="2" t="n">
        <v>3</v>
      </c>
      <c r="G62" s="2" t="s">
        <v>315</v>
      </c>
      <c r="H62" s="4" t="s">
        <v>21</v>
      </c>
      <c r="I62" s="2" t="s">
        <v>316</v>
      </c>
      <c r="J62" s="2" t="s">
        <v>317</v>
      </c>
      <c r="K62" s="2" t="s">
        <v>318</v>
      </c>
    </row>
    <row r="63" customFormat="false" ht="15" hidden="false" customHeight="false" outlineLevel="0" collapsed="false">
      <c r="A63" s="2" t="n">
        <v>62</v>
      </c>
      <c r="B63" s="2" t="s">
        <v>312</v>
      </c>
      <c r="C63" s="2" t="s">
        <v>319</v>
      </c>
      <c r="D63" s="2" t="s">
        <v>20</v>
      </c>
      <c r="E63" s="2" t="s">
        <v>14</v>
      </c>
      <c r="F63" s="2" t="n">
        <v>1</v>
      </c>
      <c r="G63" s="2"/>
      <c r="H63" s="3" t="s">
        <v>15</v>
      </c>
      <c r="I63" s="2" t="s">
        <v>16</v>
      </c>
      <c r="J63" s="2" t="s">
        <v>320</v>
      </c>
      <c r="K63" s="2"/>
    </row>
    <row r="64" customFormat="false" ht="15" hidden="false" customHeight="false" outlineLevel="0" collapsed="false">
      <c r="A64" s="2" t="n">
        <v>63</v>
      </c>
      <c r="B64" s="2" t="s">
        <v>312</v>
      </c>
      <c r="C64" s="2" t="s">
        <v>321</v>
      </c>
      <c r="D64" s="2" t="s">
        <v>20</v>
      </c>
      <c r="E64" s="2" t="s">
        <v>14</v>
      </c>
      <c r="F64" s="2" t="n">
        <v>3</v>
      </c>
      <c r="G64" s="2"/>
      <c r="H64" s="4" t="s">
        <v>21</v>
      </c>
      <c r="I64" s="2" t="s">
        <v>322</v>
      </c>
      <c r="J64" s="2" t="s">
        <v>323</v>
      </c>
      <c r="K64" s="2" t="s">
        <v>324</v>
      </c>
    </row>
    <row r="65" customFormat="false" ht="15" hidden="false" customHeight="false" outlineLevel="0" collapsed="false">
      <c r="A65" s="2" t="n">
        <v>64</v>
      </c>
      <c r="B65" s="2" t="s">
        <v>325</v>
      </c>
      <c r="C65" s="2" t="s">
        <v>326</v>
      </c>
      <c r="D65" s="2" t="s">
        <v>42</v>
      </c>
      <c r="E65" s="2" t="s">
        <v>43</v>
      </c>
      <c r="F65" s="2" t="n">
        <v>1</v>
      </c>
      <c r="G65" s="2" t="s">
        <v>327</v>
      </c>
      <c r="H65" s="4" t="s">
        <v>21</v>
      </c>
      <c r="I65" s="2" t="s">
        <v>328</v>
      </c>
      <c r="J65" s="2" t="s">
        <v>329</v>
      </c>
      <c r="K65" s="2" t="s">
        <v>330</v>
      </c>
    </row>
    <row r="66" customFormat="false" ht="15" hidden="false" customHeight="false" outlineLevel="0" collapsed="false">
      <c r="A66" s="2" t="n">
        <v>65</v>
      </c>
      <c r="B66" s="2" t="s">
        <v>331</v>
      </c>
      <c r="C66" s="2" t="s">
        <v>332</v>
      </c>
      <c r="D66" s="2" t="s">
        <v>13</v>
      </c>
      <c r="E66" s="2" t="s">
        <v>14</v>
      </c>
      <c r="F66" s="2" t="n">
        <v>1</v>
      </c>
      <c r="G66" s="2"/>
      <c r="H66" s="4" t="s">
        <v>21</v>
      </c>
      <c r="I66" s="2" t="s">
        <v>333</v>
      </c>
      <c r="J66" s="2" t="s">
        <v>334</v>
      </c>
      <c r="K66" s="2" t="s">
        <v>335</v>
      </c>
    </row>
    <row r="67" customFormat="false" ht="15" hidden="false" customHeight="false" outlineLevel="0" collapsed="false">
      <c r="A67" s="2" t="n">
        <v>66</v>
      </c>
      <c r="B67" s="2" t="s">
        <v>336</v>
      </c>
      <c r="C67" s="2" t="s">
        <v>337</v>
      </c>
      <c r="D67" s="2" t="s">
        <v>13</v>
      </c>
      <c r="E67" s="2" t="s">
        <v>14</v>
      </c>
      <c r="F67" s="2" t="n">
        <v>1</v>
      </c>
      <c r="G67" s="2"/>
      <c r="H67" s="4" t="s">
        <v>21</v>
      </c>
      <c r="I67" s="2" t="s">
        <v>338</v>
      </c>
      <c r="J67" s="2" t="s">
        <v>339</v>
      </c>
      <c r="K67" s="2" t="s">
        <v>340</v>
      </c>
    </row>
    <row r="68" customFormat="false" ht="15" hidden="false" customHeight="false" outlineLevel="0" collapsed="false">
      <c r="A68" s="2" t="n">
        <v>67</v>
      </c>
      <c r="B68" s="2" t="s">
        <v>341</v>
      </c>
      <c r="C68" s="2" t="s">
        <v>342</v>
      </c>
      <c r="D68" s="2" t="s">
        <v>13</v>
      </c>
      <c r="E68" s="2" t="s">
        <v>14</v>
      </c>
      <c r="F68" s="2" t="n">
        <v>1</v>
      </c>
      <c r="G68" s="2"/>
      <c r="H68" s="3" t="s">
        <v>15</v>
      </c>
      <c r="I68" s="2" t="s">
        <v>343</v>
      </c>
      <c r="J68" s="2" t="s">
        <v>344</v>
      </c>
      <c r="K68" s="2"/>
    </row>
    <row r="69" customFormat="false" ht="15" hidden="false" customHeight="false" outlineLevel="0" collapsed="false">
      <c r="A69" s="2" t="n">
        <v>68</v>
      </c>
      <c r="B69" s="2" t="s">
        <v>341</v>
      </c>
      <c r="C69" s="2" t="s">
        <v>345</v>
      </c>
      <c r="D69" s="2" t="s">
        <v>181</v>
      </c>
      <c r="E69" s="2" t="s">
        <v>182</v>
      </c>
      <c r="F69" s="2" t="n">
        <v>2</v>
      </c>
      <c r="G69" s="2" t="s">
        <v>346</v>
      </c>
      <c r="H69" s="4" t="s">
        <v>21</v>
      </c>
      <c r="I69" s="2" t="s">
        <v>347</v>
      </c>
      <c r="J69" s="2" t="s">
        <v>348</v>
      </c>
      <c r="K69" s="2" t="s">
        <v>349</v>
      </c>
    </row>
    <row r="70" customFormat="false" ht="15" hidden="false" customHeight="false" outlineLevel="0" collapsed="false">
      <c r="A70" s="2" t="n">
        <v>69</v>
      </c>
      <c r="B70" s="2" t="s">
        <v>350</v>
      </c>
      <c r="C70" s="2" t="s">
        <v>351</v>
      </c>
      <c r="D70" s="2" t="s">
        <v>13</v>
      </c>
      <c r="E70" s="2" t="s">
        <v>14</v>
      </c>
      <c r="F70" s="2" t="n">
        <v>1</v>
      </c>
      <c r="G70" s="2"/>
      <c r="H70" s="3" t="s">
        <v>15</v>
      </c>
      <c r="I70" s="2" t="s">
        <v>352</v>
      </c>
      <c r="J70" s="2" t="s">
        <v>353</v>
      </c>
      <c r="K70" s="2" t="s">
        <v>354</v>
      </c>
    </row>
    <row r="71" customFormat="false" ht="15" hidden="false" customHeight="false" outlineLevel="0" collapsed="false">
      <c r="A71" s="2" t="n">
        <v>70</v>
      </c>
      <c r="B71" s="2" t="s">
        <v>355</v>
      </c>
      <c r="C71" s="2" t="s">
        <v>356</v>
      </c>
      <c r="D71" s="2" t="s">
        <v>20</v>
      </c>
      <c r="E71" s="2" t="s">
        <v>14</v>
      </c>
      <c r="F71" s="2" t="n">
        <v>1</v>
      </c>
      <c r="G71" s="2"/>
      <c r="H71" s="3" t="s">
        <v>15</v>
      </c>
      <c r="I71" s="2" t="s">
        <v>357</v>
      </c>
      <c r="J71" s="2" t="s">
        <v>358</v>
      </c>
      <c r="K71" s="2"/>
    </row>
    <row r="72" customFormat="false" ht="15" hidden="false" customHeight="false" outlineLevel="0" collapsed="false">
      <c r="A72" s="2" t="n">
        <v>71</v>
      </c>
      <c r="B72" s="2" t="s">
        <v>355</v>
      </c>
      <c r="C72" s="2" t="s">
        <v>359</v>
      </c>
      <c r="D72" s="2" t="s">
        <v>258</v>
      </c>
      <c r="E72" s="2" t="s">
        <v>43</v>
      </c>
      <c r="F72" s="2" t="n">
        <v>5</v>
      </c>
      <c r="G72" s="2" t="s">
        <v>360</v>
      </c>
      <c r="H72" s="4" t="s">
        <v>21</v>
      </c>
      <c r="I72" s="2" t="s">
        <v>361</v>
      </c>
      <c r="J72" s="2" t="s">
        <v>362</v>
      </c>
      <c r="K72" s="2" t="s">
        <v>363</v>
      </c>
    </row>
    <row r="73" customFormat="false" ht="15" hidden="false" customHeight="false" outlineLevel="0" collapsed="false">
      <c r="A73" s="2" t="n">
        <v>72</v>
      </c>
      <c r="B73" s="2" t="s">
        <v>355</v>
      </c>
      <c r="C73" s="2" t="s">
        <v>364</v>
      </c>
      <c r="D73" s="2" t="s">
        <v>258</v>
      </c>
      <c r="E73" s="2" t="s">
        <v>43</v>
      </c>
      <c r="F73" s="2" t="n">
        <v>2</v>
      </c>
      <c r="G73" s="2" t="s">
        <v>365</v>
      </c>
      <c r="H73" s="4" t="s">
        <v>21</v>
      </c>
      <c r="I73" s="2" t="s">
        <v>216</v>
      </c>
      <c r="J73" s="2" t="s">
        <v>366</v>
      </c>
      <c r="K73" s="2" t="s">
        <v>367</v>
      </c>
    </row>
    <row r="74" customFormat="false" ht="15" hidden="false" customHeight="false" outlineLevel="0" collapsed="false">
      <c r="A74" s="2" t="n">
        <v>73</v>
      </c>
      <c r="B74" s="2" t="s">
        <v>355</v>
      </c>
      <c r="C74" s="2" t="s">
        <v>332</v>
      </c>
      <c r="D74" s="2" t="s">
        <v>13</v>
      </c>
      <c r="E74" s="2" t="s">
        <v>14</v>
      </c>
      <c r="F74" s="2" t="n">
        <v>2</v>
      </c>
      <c r="G74" s="2"/>
      <c r="H74" s="3" t="s">
        <v>15</v>
      </c>
      <c r="I74" s="2"/>
      <c r="J74" s="2" t="s">
        <v>368</v>
      </c>
      <c r="K74" s="2"/>
    </row>
    <row r="75" customFormat="false" ht="15" hidden="false" customHeight="false" outlineLevel="0" collapsed="false">
      <c r="A75" s="2" t="n">
        <v>74</v>
      </c>
      <c r="B75" s="2" t="s">
        <v>369</v>
      </c>
      <c r="C75" s="2" t="s">
        <v>370</v>
      </c>
      <c r="D75" s="2" t="s">
        <v>13</v>
      </c>
      <c r="E75" s="2" t="s">
        <v>14</v>
      </c>
      <c r="F75" s="2" t="n">
        <v>1</v>
      </c>
      <c r="G75" s="2"/>
      <c r="H75" s="3" t="s">
        <v>15</v>
      </c>
      <c r="I75" s="2"/>
      <c r="J75" s="2" t="s">
        <v>371</v>
      </c>
      <c r="K75" s="2"/>
    </row>
    <row r="76" customFormat="false" ht="15" hidden="false" customHeight="false" outlineLevel="0" collapsed="false">
      <c r="A76" s="2" t="n">
        <v>75</v>
      </c>
      <c r="B76" s="2" t="s">
        <v>372</v>
      </c>
      <c r="C76" s="2" t="s">
        <v>373</v>
      </c>
      <c r="D76" s="2" t="s">
        <v>13</v>
      </c>
      <c r="E76" s="2" t="s">
        <v>14</v>
      </c>
      <c r="F76" s="2" t="n">
        <v>3</v>
      </c>
      <c r="G76" s="2"/>
      <c r="H76" s="4" t="s">
        <v>21</v>
      </c>
      <c r="I76" s="2" t="s">
        <v>374</v>
      </c>
      <c r="J76" s="2" t="s">
        <v>375</v>
      </c>
      <c r="K76" s="2" t="s">
        <v>376</v>
      </c>
    </row>
    <row r="77" customFormat="false" ht="15" hidden="false" customHeight="false" outlineLevel="0" collapsed="false">
      <c r="A77" s="2" t="n">
        <v>76</v>
      </c>
      <c r="B77" s="2" t="s">
        <v>377</v>
      </c>
      <c r="C77" s="2" t="s">
        <v>378</v>
      </c>
      <c r="D77" s="2" t="s">
        <v>13</v>
      </c>
      <c r="E77" s="2" t="s">
        <v>14</v>
      </c>
      <c r="F77" s="2" t="n">
        <v>1</v>
      </c>
      <c r="G77" s="2"/>
      <c r="H77" s="3" t="s">
        <v>15</v>
      </c>
      <c r="I77" s="2"/>
      <c r="J77" s="2" t="s">
        <v>379</v>
      </c>
      <c r="K77" s="2"/>
    </row>
    <row r="78" customFormat="false" ht="15" hidden="false" customHeight="false" outlineLevel="0" collapsed="false">
      <c r="A78" s="2" t="n">
        <v>77</v>
      </c>
      <c r="B78" s="2" t="s">
        <v>380</v>
      </c>
      <c r="C78" s="2" t="s">
        <v>297</v>
      </c>
      <c r="D78" s="2" t="s">
        <v>13</v>
      </c>
      <c r="E78" s="2" t="s">
        <v>14</v>
      </c>
      <c r="F78" s="2" t="n">
        <v>1</v>
      </c>
      <c r="G78" s="2"/>
      <c r="H78" s="3" t="s">
        <v>15</v>
      </c>
      <c r="I78" s="2"/>
      <c r="J78" s="2" t="s">
        <v>381</v>
      </c>
      <c r="K78" s="2"/>
    </row>
    <row r="79" customFormat="false" ht="15" hidden="false" customHeight="false" outlineLevel="0" collapsed="false">
      <c r="A79" s="2" t="n">
        <v>78</v>
      </c>
      <c r="B79" s="2" t="s">
        <v>382</v>
      </c>
      <c r="C79" s="2" t="s">
        <v>383</v>
      </c>
      <c r="D79" s="2" t="s">
        <v>61</v>
      </c>
      <c r="E79" s="2" t="s">
        <v>43</v>
      </c>
      <c r="F79" s="2" t="n">
        <v>2</v>
      </c>
      <c r="G79" s="2" t="s">
        <v>384</v>
      </c>
      <c r="H79" s="4" t="s">
        <v>21</v>
      </c>
      <c r="I79" s="2" t="s">
        <v>385</v>
      </c>
      <c r="J79" s="2" t="s">
        <v>386</v>
      </c>
      <c r="K79" s="2" t="s">
        <v>387</v>
      </c>
    </row>
    <row r="80" customFormat="false" ht="15" hidden="false" customHeight="false" outlineLevel="0" collapsed="false">
      <c r="A80" s="2" t="n">
        <v>79</v>
      </c>
      <c r="B80" s="2" t="s">
        <v>388</v>
      </c>
      <c r="C80" s="2" t="s">
        <v>389</v>
      </c>
      <c r="D80" s="2" t="s">
        <v>42</v>
      </c>
      <c r="E80" s="2" t="s">
        <v>43</v>
      </c>
      <c r="F80" s="2" t="n">
        <v>1</v>
      </c>
      <c r="G80" s="2" t="s">
        <v>390</v>
      </c>
      <c r="H80" s="3" t="s">
        <v>15</v>
      </c>
      <c r="I80" s="2" t="s">
        <v>391</v>
      </c>
      <c r="J80" s="2" t="s">
        <v>392</v>
      </c>
      <c r="K80" s="2"/>
    </row>
    <row r="81" customFormat="false" ht="15" hidden="false" customHeight="false" outlineLevel="0" collapsed="false">
      <c r="A81" s="2" t="n">
        <v>80</v>
      </c>
      <c r="B81" s="2" t="s">
        <v>393</v>
      </c>
      <c r="C81" s="2" t="s">
        <v>394</v>
      </c>
      <c r="D81" s="2" t="s">
        <v>13</v>
      </c>
      <c r="E81" s="2" t="s">
        <v>14</v>
      </c>
      <c r="F81" s="2" t="n">
        <v>3</v>
      </c>
      <c r="G81" s="2"/>
      <c r="H81" s="4" t="s">
        <v>21</v>
      </c>
      <c r="I81" s="2" t="s">
        <v>395</v>
      </c>
      <c r="J81" s="2" t="s">
        <v>396</v>
      </c>
      <c r="K81" s="2" t="s">
        <v>397</v>
      </c>
    </row>
    <row r="82" customFormat="false" ht="15" hidden="false" customHeight="false" outlineLevel="0" collapsed="false">
      <c r="A82" s="2" t="n">
        <v>81</v>
      </c>
      <c r="B82" s="2" t="s">
        <v>398</v>
      </c>
      <c r="C82" s="2" t="s">
        <v>297</v>
      </c>
      <c r="D82" s="2" t="s">
        <v>20</v>
      </c>
      <c r="E82" s="2" t="s">
        <v>14</v>
      </c>
      <c r="F82" s="2" t="n">
        <v>1</v>
      </c>
      <c r="G82" s="2"/>
      <c r="H82" s="3" t="s">
        <v>15</v>
      </c>
      <c r="I82" s="2"/>
      <c r="J82" s="2" t="s">
        <v>399</v>
      </c>
      <c r="K82" s="2"/>
    </row>
    <row r="83" customFormat="false" ht="15" hidden="false" customHeight="false" outlineLevel="0" collapsed="false">
      <c r="A83" s="2" t="n">
        <v>82</v>
      </c>
      <c r="B83" s="2" t="s">
        <v>400</v>
      </c>
      <c r="C83" s="2" t="s">
        <v>401</v>
      </c>
      <c r="D83" s="2" t="s">
        <v>20</v>
      </c>
      <c r="E83" s="2" t="s">
        <v>14</v>
      </c>
      <c r="F83" s="2" t="n">
        <v>1</v>
      </c>
      <c r="G83" s="2"/>
      <c r="H83" s="3" t="s">
        <v>15</v>
      </c>
      <c r="I83" s="2"/>
      <c r="J83" s="2" t="s">
        <v>402</v>
      </c>
      <c r="K83" s="2"/>
    </row>
    <row r="84" customFormat="false" ht="15" hidden="false" customHeight="false" outlineLevel="0" collapsed="false">
      <c r="A84" s="2" t="n">
        <v>83</v>
      </c>
      <c r="B84" s="2" t="s">
        <v>403</v>
      </c>
      <c r="C84" s="2" t="s">
        <v>404</v>
      </c>
      <c r="D84" s="2" t="s">
        <v>61</v>
      </c>
      <c r="E84" s="2" t="s">
        <v>43</v>
      </c>
      <c r="F84" s="2" t="n">
        <v>1</v>
      </c>
      <c r="G84" s="2" t="s">
        <v>405</v>
      </c>
      <c r="H84" s="3" t="s">
        <v>15</v>
      </c>
      <c r="I84" s="2" t="s">
        <v>391</v>
      </c>
      <c r="J84" s="2" t="s">
        <v>392</v>
      </c>
      <c r="K84" s="2"/>
    </row>
    <row r="85" customFormat="false" ht="15" hidden="false" customHeight="false" outlineLevel="0" collapsed="false">
      <c r="A85" s="2" t="n">
        <v>84</v>
      </c>
      <c r="B85" s="2" t="s">
        <v>406</v>
      </c>
      <c r="C85" s="2" t="s">
        <v>407</v>
      </c>
      <c r="D85" s="2" t="s">
        <v>13</v>
      </c>
      <c r="E85" s="2" t="s">
        <v>14</v>
      </c>
      <c r="F85" s="2" t="n">
        <v>1</v>
      </c>
      <c r="G85" s="2"/>
      <c r="H85" s="4" t="s">
        <v>21</v>
      </c>
      <c r="I85" s="2" t="s">
        <v>408</v>
      </c>
      <c r="J85" s="2" t="s">
        <v>409</v>
      </c>
      <c r="K85" s="2" t="s">
        <v>410</v>
      </c>
    </row>
    <row r="86" customFormat="false" ht="15" hidden="false" customHeight="false" outlineLevel="0" collapsed="false">
      <c r="A86" s="2" t="n">
        <v>85</v>
      </c>
      <c r="B86" s="2" t="s">
        <v>411</v>
      </c>
      <c r="C86" s="2" t="s">
        <v>411</v>
      </c>
      <c r="D86" s="2" t="s">
        <v>61</v>
      </c>
      <c r="E86" s="2" t="s">
        <v>43</v>
      </c>
      <c r="F86" s="2" t="n">
        <v>4</v>
      </c>
      <c r="G86" s="2" t="s">
        <v>412</v>
      </c>
      <c r="H86" s="3" t="s">
        <v>15</v>
      </c>
      <c r="I86" s="2" t="s">
        <v>391</v>
      </c>
      <c r="J86" s="2" t="s">
        <v>413</v>
      </c>
      <c r="K86" s="2" t="s">
        <v>414</v>
      </c>
    </row>
    <row r="87" customFormat="false" ht="15" hidden="false" customHeight="false" outlineLevel="0" collapsed="false">
      <c r="A87" s="2" t="n">
        <v>86</v>
      </c>
      <c r="B87" s="2" t="s">
        <v>415</v>
      </c>
      <c r="C87" s="2" t="s">
        <v>416</v>
      </c>
      <c r="D87" s="2" t="s">
        <v>13</v>
      </c>
      <c r="E87" s="2" t="s">
        <v>14</v>
      </c>
      <c r="F87" s="2" t="n">
        <v>2</v>
      </c>
      <c r="G87" s="2"/>
      <c r="H87" s="3" t="s">
        <v>15</v>
      </c>
      <c r="I87" s="2" t="s">
        <v>417</v>
      </c>
      <c r="J87" s="2" t="s">
        <v>418</v>
      </c>
      <c r="K87" s="2" t="s">
        <v>419</v>
      </c>
    </row>
    <row r="88" customFormat="false" ht="15" hidden="false" customHeight="false" outlineLevel="0" collapsed="false">
      <c r="A88" s="2" t="n">
        <v>87</v>
      </c>
      <c r="B88" s="2" t="s">
        <v>415</v>
      </c>
      <c r="C88" s="2" t="s">
        <v>420</v>
      </c>
      <c r="D88" s="2" t="s">
        <v>61</v>
      </c>
      <c r="E88" s="2" t="s">
        <v>43</v>
      </c>
      <c r="F88" s="2" t="n">
        <v>3</v>
      </c>
      <c r="G88" s="2" t="s">
        <v>421</v>
      </c>
      <c r="H88" s="4" t="s">
        <v>21</v>
      </c>
      <c r="I88" s="2" t="s">
        <v>422</v>
      </c>
      <c r="J88" s="2" t="s">
        <v>423</v>
      </c>
      <c r="K88" s="2" t="s">
        <v>424</v>
      </c>
    </row>
    <row r="89" customFormat="false" ht="15" hidden="false" customHeight="false" outlineLevel="0" collapsed="false">
      <c r="A89" s="2" t="n">
        <v>88</v>
      </c>
      <c r="B89" s="2" t="s">
        <v>425</v>
      </c>
      <c r="C89" s="2" t="s">
        <v>426</v>
      </c>
      <c r="D89" s="2" t="s">
        <v>20</v>
      </c>
      <c r="E89" s="2" t="s">
        <v>14</v>
      </c>
      <c r="F89" s="2" t="n">
        <v>1</v>
      </c>
      <c r="G89" s="2"/>
      <c r="H89" s="3" t="s">
        <v>15</v>
      </c>
      <c r="I89" s="2"/>
      <c r="J89" s="2" t="s">
        <v>427</v>
      </c>
      <c r="K89" s="2"/>
    </row>
    <row r="90" customFormat="false" ht="15" hidden="false" customHeight="false" outlineLevel="0" collapsed="false">
      <c r="A90" s="2" t="n">
        <v>89</v>
      </c>
      <c r="B90" s="2" t="s">
        <v>428</v>
      </c>
      <c r="C90" s="2" t="s">
        <v>429</v>
      </c>
      <c r="D90" s="2" t="s">
        <v>13</v>
      </c>
      <c r="E90" s="2" t="s">
        <v>14</v>
      </c>
      <c r="F90" s="2" t="n">
        <v>1</v>
      </c>
      <c r="G90" s="2"/>
      <c r="H90" s="4" t="s">
        <v>21</v>
      </c>
      <c r="I90" s="2" t="s">
        <v>430</v>
      </c>
      <c r="J90" s="2" t="s">
        <v>431</v>
      </c>
      <c r="K90" s="2" t="s">
        <v>432</v>
      </c>
    </row>
    <row r="91" customFormat="false" ht="15" hidden="false" customHeight="false" outlineLevel="0" collapsed="false">
      <c r="A91" s="2" t="n">
        <v>90</v>
      </c>
      <c r="B91" s="2" t="s">
        <v>433</v>
      </c>
      <c r="C91" s="2" t="s">
        <v>407</v>
      </c>
      <c r="D91" s="2" t="s">
        <v>258</v>
      </c>
      <c r="E91" s="2" t="s">
        <v>43</v>
      </c>
      <c r="F91" s="2" t="n">
        <v>4</v>
      </c>
      <c r="G91" s="2" t="s">
        <v>434</v>
      </c>
      <c r="H91" s="3" t="s">
        <v>15</v>
      </c>
      <c r="I91" s="2" t="s">
        <v>435</v>
      </c>
      <c r="J91" s="2" t="s">
        <v>436</v>
      </c>
      <c r="K91" s="2" t="s">
        <v>437</v>
      </c>
    </row>
    <row r="92" customFormat="false" ht="15" hidden="false" customHeight="false" outlineLevel="0" collapsed="false">
      <c r="A92" s="2" t="n">
        <v>91</v>
      </c>
      <c r="B92" s="2" t="s">
        <v>438</v>
      </c>
      <c r="C92" s="2" t="s">
        <v>319</v>
      </c>
      <c r="D92" s="2" t="s">
        <v>20</v>
      </c>
      <c r="E92" s="2" t="s">
        <v>14</v>
      </c>
      <c r="F92" s="2" t="n">
        <v>1</v>
      </c>
      <c r="G92" s="2"/>
      <c r="H92" s="3" t="s">
        <v>15</v>
      </c>
      <c r="I92" s="2"/>
      <c r="J92" s="2" t="s">
        <v>439</v>
      </c>
      <c r="K92" s="2"/>
    </row>
    <row r="93" customFormat="false" ht="15" hidden="false" customHeight="false" outlineLevel="0" collapsed="false">
      <c r="A93" s="2" t="n">
        <v>92</v>
      </c>
      <c r="B93" s="2" t="s">
        <v>440</v>
      </c>
      <c r="C93" s="2" t="s">
        <v>441</v>
      </c>
      <c r="D93" s="2" t="s">
        <v>13</v>
      </c>
      <c r="E93" s="2" t="s">
        <v>14</v>
      </c>
      <c r="F93" s="2" t="n">
        <v>1</v>
      </c>
      <c r="G93" s="2"/>
      <c r="H93" s="3" t="s">
        <v>15</v>
      </c>
      <c r="I93" s="2"/>
      <c r="J93" s="2" t="s">
        <v>442</v>
      </c>
      <c r="K93" s="2"/>
    </row>
    <row r="94" customFormat="false" ht="15" hidden="false" customHeight="false" outlineLevel="0" collapsed="false">
      <c r="A94" s="2" t="n">
        <v>93</v>
      </c>
      <c r="B94" s="2" t="s">
        <v>443</v>
      </c>
      <c r="C94" s="2" t="s">
        <v>131</v>
      </c>
      <c r="D94" s="2" t="s">
        <v>98</v>
      </c>
      <c r="E94" s="2" t="s">
        <v>14</v>
      </c>
      <c r="F94" s="2" t="n">
        <v>3</v>
      </c>
      <c r="G94" s="2"/>
      <c r="H94" s="4" t="s">
        <v>21</v>
      </c>
      <c r="I94" s="2" t="s">
        <v>444</v>
      </c>
      <c r="J94" s="2" t="s">
        <v>445</v>
      </c>
      <c r="K94" s="2" t="s">
        <v>446</v>
      </c>
    </row>
    <row r="95" customFormat="false" ht="15" hidden="false" customHeight="false" outlineLevel="0" collapsed="false">
      <c r="A95" s="2" t="n">
        <v>94</v>
      </c>
      <c r="B95" s="2" t="s">
        <v>447</v>
      </c>
      <c r="C95" s="2" t="s">
        <v>448</v>
      </c>
      <c r="D95" s="2" t="s">
        <v>20</v>
      </c>
      <c r="E95" s="2" t="s">
        <v>14</v>
      </c>
      <c r="F95" s="2" t="n">
        <v>2</v>
      </c>
      <c r="G95" s="2"/>
      <c r="H95" s="4" t="s">
        <v>21</v>
      </c>
      <c r="I95" s="2" t="s">
        <v>449</v>
      </c>
      <c r="J95" s="2" t="s">
        <v>450</v>
      </c>
      <c r="K95" s="2" t="s">
        <v>451</v>
      </c>
    </row>
    <row r="96" customFormat="false" ht="15" hidden="false" customHeight="false" outlineLevel="0" collapsed="false">
      <c r="A96" s="2" t="n">
        <v>95</v>
      </c>
      <c r="B96" s="2" t="s">
        <v>452</v>
      </c>
      <c r="C96" s="2" t="s">
        <v>453</v>
      </c>
      <c r="D96" s="2" t="s">
        <v>61</v>
      </c>
      <c r="E96" s="2" t="s">
        <v>43</v>
      </c>
      <c r="F96" s="2" t="n">
        <v>2</v>
      </c>
      <c r="G96" s="2" t="s">
        <v>454</v>
      </c>
      <c r="H96" s="4" t="s">
        <v>21</v>
      </c>
      <c r="I96" s="2" t="s">
        <v>455</v>
      </c>
      <c r="J96" s="2" t="s">
        <v>456</v>
      </c>
      <c r="K96" s="2" t="s">
        <v>457</v>
      </c>
    </row>
    <row r="97" customFormat="false" ht="15" hidden="false" customHeight="false" outlineLevel="0" collapsed="false">
      <c r="A97" s="2" t="n">
        <v>96</v>
      </c>
      <c r="B97" s="2" t="s">
        <v>458</v>
      </c>
      <c r="C97" s="2" t="s">
        <v>104</v>
      </c>
      <c r="D97" s="2" t="s">
        <v>20</v>
      </c>
      <c r="E97" s="2" t="s">
        <v>14</v>
      </c>
      <c r="F97" s="2" t="n">
        <v>1</v>
      </c>
      <c r="G97" s="2"/>
      <c r="H97" s="3" t="s">
        <v>15</v>
      </c>
      <c r="I97" s="2" t="s">
        <v>16</v>
      </c>
      <c r="J97" s="2" t="s">
        <v>459</v>
      </c>
      <c r="K97" s="2"/>
    </row>
    <row r="98" customFormat="false" ht="15" hidden="false" customHeight="false" outlineLevel="0" collapsed="false">
      <c r="A98" s="2" t="n">
        <v>97</v>
      </c>
      <c r="B98" s="2" t="s">
        <v>460</v>
      </c>
      <c r="C98" s="2" t="s">
        <v>461</v>
      </c>
      <c r="D98" s="2" t="s">
        <v>61</v>
      </c>
      <c r="E98" s="2" t="s">
        <v>43</v>
      </c>
      <c r="F98" s="2" t="n">
        <v>1</v>
      </c>
      <c r="G98" s="2" t="s">
        <v>462</v>
      </c>
      <c r="H98" s="4" t="s">
        <v>21</v>
      </c>
      <c r="I98" s="2" t="s">
        <v>463</v>
      </c>
      <c r="J98" s="2" t="s">
        <v>464</v>
      </c>
      <c r="K98" s="2" t="s">
        <v>465</v>
      </c>
    </row>
    <row r="99" customFormat="false" ht="15" hidden="false" customHeight="false" outlineLevel="0" collapsed="false">
      <c r="A99" s="2" t="n">
        <v>98</v>
      </c>
      <c r="B99" s="2" t="s">
        <v>466</v>
      </c>
      <c r="C99" s="2" t="s">
        <v>467</v>
      </c>
      <c r="D99" s="2" t="s">
        <v>13</v>
      </c>
      <c r="E99" s="2" t="s">
        <v>14</v>
      </c>
      <c r="F99" s="2" t="n">
        <v>5</v>
      </c>
      <c r="G99" s="2"/>
      <c r="H99" s="4" t="s">
        <v>21</v>
      </c>
      <c r="I99" s="2" t="s">
        <v>468</v>
      </c>
      <c r="J99" s="2" t="s">
        <v>469</v>
      </c>
      <c r="K99" s="2" t="s">
        <v>470</v>
      </c>
    </row>
    <row r="100" customFormat="false" ht="15" hidden="false" customHeight="false" outlineLevel="0" collapsed="false">
      <c r="A100" s="2" t="n">
        <v>99</v>
      </c>
      <c r="B100" s="2" t="s">
        <v>471</v>
      </c>
      <c r="C100" s="2" t="s">
        <v>472</v>
      </c>
      <c r="D100" s="2" t="s">
        <v>61</v>
      </c>
      <c r="E100" s="2" t="s">
        <v>43</v>
      </c>
      <c r="F100" s="2" t="n">
        <v>1</v>
      </c>
      <c r="G100" s="2" t="s">
        <v>473</v>
      </c>
      <c r="H100" s="4" t="s">
        <v>21</v>
      </c>
      <c r="I100" s="2" t="s">
        <v>288</v>
      </c>
      <c r="J100" s="2" t="s">
        <v>474</v>
      </c>
      <c r="K100" s="2" t="s">
        <v>475</v>
      </c>
    </row>
    <row r="101" customFormat="false" ht="15" hidden="false" customHeight="false" outlineLevel="0" collapsed="false">
      <c r="A101" s="2" t="n">
        <v>100</v>
      </c>
      <c r="B101" s="2" t="s">
        <v>476</v>
      </c>
      <c r="C101" s="2" t="s">
        <v>477</v>
      </c>
      <c r="D101" s="2" t="s">
        <v>42</v>
      </c>
      <c r="E101" s="2" t="s">
        <v>43</v>
      </c>
      <c r="F101" s="2" t="n">
        <v>1</v>
      </c>
      <c r="G101" s="2" t="s">
        <v>478</v>
      </c>
      <c r="H101" s="5" t="s">
        <v>45</v>
      </c>
      <c r="I101" s="2" t="s">
        <v>479</v>
      </c>
      <c r="J101" s="2" t="s">
        <v>47</v>
      </c>
      <c r="K101" s="2"/>
    </row>
    <row r="102" customFormat="false" ht="15" hidden="false" customHeight="false" outlineLevel="0" collapsed="false">
      <c r="A102" s="2" t="n">
        <v>101</v>
      </c>
      <c r="B102" s="2" t="s">
        <v>480</v>
      </c>
      <c r="C102" s="2" t="s">
        <v>481</v>
      </c>
      <c r="D102" s="2" t="s">
        <v>61</v>
      </c>
      <c r="E102" s="2" t="s">
        <v>43</v>
      </c>
      <c r="F102" s="2" t="n">
        <v>1</v>
      </c>
      <c r="G102" s="2" t="s">
        <v>482</v>
      </c>
      <c r="H102" s="4" t="s">
        <v>21</v>
      </c>
      <c r="I102" s="2" t="s">
        <v>483</v>
      </c>
      <c r="J102" s="2" t="s">
        <v>484</v>
      </c>
      <c r="K102" s="2" t="s">
        <v>485</v>
      </c>
    </row>
    <row r="103" customFormat="false" ht="15" hidden="false" customHeight="false" outlineLevel="0" collapsed="false">
      <c r="A103" s="2" t="n">
        <v>102</v>
      </c>
      <c r="B103" s="2" t="s">
        <v>486</v>
      </c>
      <c r="C103" s="2" t="s">
        <v>487</v>
      </c>
      <c r="D103" s="2" t="s">
        <v>20</v>
      </c>
      <c r="E103" s="2" t="s">
        <v>14</v>
      </c>
      <c r="F103" s="2" t="n">
        <v>2</v>
      </c>
      <c r="G103" s="2"/>
      <c r="H103" s="3" t="s">
        <v>15</v>
      </c>
      <c r="I103" s="2" t="s">
        <v>488</v>
      </c>
      <c r="J103" s="2" t="s">
        <v>489</v>
      </c>
      <c r="K103" s="2"/>
    </row>
    <row r="104" customFormat="false" ht="15" hidden="false" customHeight="false" outlineLevel="0" collapsed="false">
      <c r="A104" s="2" t="n">
        <v>103</v>
      </c>
      <c r="B104" s="2" t="s">
        <v>490</v>
      </c>
      <c r="C104" s="2" t="s">
        <v>491</v>
      </c>
      <c r="D104" s="2" t="s">
        <v>13</v>
      </c>
      <c r="E104" s="2" t="s">
        <v>14</v>
      </c>
      <c r="F104" s="2" t="n">
        <v>1</v>
      </c>
      <c r="G104" s="2"/>
      <c r="H104" s="4" t="s">
        <v>21</v>
      </c>
      <c r="I104" s="2" t="s">
        <v>492</v>
      </c>
      <c r="J104" s="2" t="s">
        <v>493</v>
      </c>
      <c r="K104" s="2" t="s">
        <v>494</v>
      </c>
    </row>
    <row r="105" customFormat="false" ht="15" hidden="false" customHeight="false" outlineLevel="0" collapsed="false">
      <c r="A105" s="2" t="n">
        <v>104</v>
      </c>
      <c r="B105" s="2" t="s">
        <v>495</v>
      </c>
      <c r="C105" s="2" t="s">
        <v>496</v>
      </c>
      <c r="D105" s="2" t="s">
        <v>13</v>
      </c>
      <c r="E105" s="2" t="s">
        <v>14</v>
      </c>
      <c r="F105" s="2" t="n">
        <v>1</v>
      </c>
      <c r="G105" s="2"/>
      <c r="H105" s="4" t="s">
        <v>21</v>
      </c>
      <c r="I105" s="2" t="s">
        <v>497</v>
      </c>
      <c r="J105" s="2" t="s">
        <v>498</v>
      </c>
      <c r="K105" s="2" t="s">
        <v>499</v>
      </c>
    </row>
    <row r="106" customFormat="false" ht="15" hidden="false" customHeight="false" outlineLevel="0" collapsed="false">
      <c r="A106" s="2" t="n">
        <v>105</v>
      </c>
      <c r="B106" s="2" t="s">
        <v>500</v>
      </c>
      <c r="C106" s="2" t="s">
        <v>201</v>
      </c>
      <c r="D106" s="2" t="s">
        <v>98</v>
      </c>
      <c r="E106" s="2" t="s">
        <v>14</v>
      </c>
      <c r="F106" s="2" t="n">
        <v>3</v>
      </c>
      <c r="G106" s="2"/>
      <c r="H106" s="4" t="s">
        <v>21</v>
      </c>
      <c r="I106" s="2" t="s">
        <v>501</v>
      </c>
      <c r="J106" s="2" t="s">
        <v>502</v>
      </c>
      <c r="K106" s="2" t="s">
        <v>503</v>
      </c>
    </row>
    <row r="107" customFormat="false" ht="15" hidden="false" customHeight="false" outlineLevel="0" collapsed="false">
      <c r="A107" s="2" t="n">
        <v>106</v>
      </c>
      <c r="B107" s="2" t="s">
        <v>504</v>
      </c>
      <c r="C107" s="2" t="s">
        <v>505</v>
      </c>
      <c r="D107" s="2" t="s">
        <v>13</v>
      </c>
      <c r="E107" s="2" t="s">
        <v>14</v>
      </c>
      <c r="F107" s="2" t="n">
        <v>1</v>
      </c>
      <c r="G107" s="2"/>
      <c r="H107" s="3" t="s">
        <v>15</v>
      </c>
      <c r="I107" s="2" t="s">
        <v>506</v>
      </c>
      <c r="J107" s="2" t="s">
        <v>507</v>
      </c>
      <c r="K107" s="2" t="s">
        <v>508</v>
      </c>
    </row>
    <row r="108" customFormat="false" ht="15" hidden="false" customHeight="false" outlineLevel="0" collapsed="false">
      <c r="A108" s="2" t="n">
        <v>107</v>
      </c>
      <c r="B108" s="2" t="s">
        <v>509</v>
      </c>
      <c r="C108" s="2" t="s">
        <v>510</v>
      </c>
      <c r="D108" s="2" t="s">
        <v>42</v>
      </c>
      <c r="E108" s="2" t="s">
        <v>43</v>
      </c>
      <c r="F108" s="2" t="n">
        <v>1</v>
      </c>
      <c r="G108" s="2" t="s">
        <v>511</v>
      </c>
      <c r="H108" s="4" t="s">
        <v>21</v>
      </c>
      <c r="I108" s="2" t="s">
        <v>288</v>
      </c>
      <c r="J108" s="2" t="s">
        <v>512</v>
      </c>
      <c r="K108" s="2" t="s">
        <v>513</v>
      </c>
    </row>
    <row r="109" customFormat="false" ht="15" hidden="false" customHeight="false" outlineLevel="0" collapsed="false">
      <c r="A109" s="2" t="n">
        <v>108</v>
      </c>
      <c r="B109" s="2" t="s">
        <v>514</v>
      </c>
      <c r="C109" s="2" t="s">
        <v>515</v>
      </c>
      <c r="D109" s="2" t="s">
        <v>13</v>
      </c>
      <c r="E109" s="2" t="s">
        <v>14</v>
      </c>
      <c r="F109" s="2" t="n">
        <v>3</v>
      </c>
      <c r="G109" s="2"/>
      <c r="H109" s="4" t="s">
        <v>21</v>
      </c>
      <c r="I109" s="2" t="s">
        <v>516</v>
      </c>
      <c r="J109" s="2" t="s">
        <v>517</v>
      </c>
      <c r="K109" s="2" t="s">
        <v>518</v>
      </c>
    </row>
    <row r="110" customFormat="false" ht="15" hidden="false" customHeight="false" outlineLevel="0" collapsed="false">
      <c r="A110" s="2" t="n">
        <v>109</v>
      </c>
      <c r="B110" s="2" t="s">
        <v>519</v>
      </c>
      <c r="C110" s="2" t="s">
        <v>520</v>
      </c>
      <c r="D110" s="2" t="s">
        <v>13</v>
      </c>
      <c r="E110" s="2" t="s">
        <v>14</v>
      </c>
      <c r="F110" s="2" t="n">
        <v>1</v>
      </c>
      <c r="G110" s="2"/>
      <c r="H110" s="3" t="s">
        <v>15</v>
      </c>
      <c r="I110" s="2" t="s">
        <v>492</v>
      </c>
      <c r="J110" s="2" t="s">
        <v>521</v>
      </c>
      <c r="K110" s="2" t="s">
        <v>522</v>
      </c>
    </row>
    <row r="111" customFormat="false" ht="15" hidden="false" customHeight="false" outlineLevel="0" collapsed="false">
      <c r="A111" s="2" t="n">
        <v>110</v>
      </c>
      <c r="B111" s="2" t="s">
        <v>523</v>
      </c>
      <c r="C111" s="2" t="s">
        <v>31</v>
      </c>
      <c r="D111" s="2" t="s">
        <v>20</v>
      </c>
      <c r="E111" s="2" t="s">
        <v>14</v>
      </c>
      <c r="F111" s="2" t="n">
        <v>1</v>
      </c>
      <c r="G111" s="2"/>
      <c r="H111" s="3" t="s">
        <v>15</v>
      </c>
      <c r="I111" s="2" t="s">
        <v>524</v>
      </c>
      <c r="J111" s="2" t="s">
        <v>525</v>
      </c>
      <c r="K111" s="2" t="s">
        <v>526</v>
      </c>
    </row>
    <row r="112" customFormat="false" ht="15" hidden="false" customHeight="false" outlineLevel="0" collapsed="false">
      <c r="A112" s="2" t="n">
        <v>111</v>
      </c>
      <c r="B112" s="2" t="s">
        <v>523</v>
      </c>
      <c r="C112" s="2" t="s">
        <v>157</v>
      </c>
      <c r="D112" s="2" t="s">
        <v>61</v>
      </c>
      <c r="E112" s="2" t="s">
        <v>43</v>
      </c>
      <c r="F112" s="2" t="n">
        <v>1</v>
      </c>
      <c r="G112" s="2" t="s">
        <v>527</v>
      </c>
      <c r="H112" s="4" t="s">
        <v>21</v>
      </c>
      <c r="I112" s="2" t="s">
        <v>528</v>
      </c>
      <c r="J112" s="2" t="s">
        <v>529</v>
      </c>
      <c r="K112" s="2" t="s">
        <v>530</v>
      </c>
    </row>
    <row r="113" customFormat="false" ht="15" hidden="false" customHeight="false" outlineLevel="0" collapsed="false">
      <c r="A113" s="2" t="n">
        <v>112</v>
      </c>
      <c r="B113" s="2" t="s">
        <v>531</v>
      </c>
      <c r="C113" s="2" t="s">
        <v>532</v>
      </c>
      <c r="D113" s="2" t="s">
        <v>13</v>
      </c>
      <c r="E113" s="2" t="s">
        <v>14</v>
      </c>
      <c r="F113" s="2" t="n">
        <v>2</v>
      </c>
      <c r="G113" s="2"/>
      <c r="H113" s="4" t="s">
        <v>21</v>
      </c>
      <c r="I113" s="2" t="s">
        <v>533</v>
      </c>
      <c r="J113" s="2" t="s">
        <v>534</v>
      </c>
      <c r="K113" s="2" t="s">
        <v>535</v>
      </c>
    </row>
    <row r="114" customFormat="false" ht="15" hidden="false" customHeight="false" outlineLevel="0" collapsed="false">
      <c r="A114" s="2" t="n">
        <v>113</v>
      </c>
      <c r="B114" s="2" t="s">
        <v>536</v>
      </c>
      <c r="C114" s="2" t="s">
        <v>537</v>
      </c>
      <c r="D114" s="2" t="s">
        <v>42</v>
      </c>
      <c r="E114" s="2" t="s">
        <v>43</v>
      </c>
      <c r="F114" s="2" t="n">
        <v>1</v>
      </c>
      <c r="G114" s="2" t="s">
        <v>538</v>
      </c>
      <c r="H114" s="4" t="s">
        <v>21</v>
      </c>
      <c r="I114" s="2" t="s">
        <v>539</v>
      </c>
      <c r="J114" s="2" t="s">
        <v>540</v>
      </c>
      <c r="K114" s="2" t="s">
        <v>541</v>
      </c>
    </row>
    <row r="115" customFormat="false" ht="15" hidden="false" customHeight="false" outlineLevel="0" collapsed="false">
      <c r="A115" s="2" t="n">
        <v>114</v>
      </c>
      <c r="B115" s="2" t="s">
        <v>542</v>
      </c>
      <c r="C115" s="2" t="s">
        <v>543</v>
      </c>
      <c r="D115" s="2" t="s">
        <v>98</v>
      </c>
      <c r="E115" s="2" t="s">
        <v>14</v>
      </c>
      <c r="F115" s="2" t="n">
        <v>3</v>
      </c>
      <c r="G115" s="2"/>
      <c r="H115" s="3" t="s">
        <v>15</v>
      </c>
      <c r="I115" s="2" t="s">
        <v>544</v>
      </c>
      <c r="J115" s="2" t="s">
        <v>545</v>
      </c>
      <c r="K115" s="2" t="s">
        <v>546</v>
      </c>
    </row>
    <row r="116" customFormat="false" ht="15" hidden="false" customHeight="false" outlineLevel="0" collapsed="false">
      <c r="A116" s="2" t="n">
        <v>115</v>
      </c>
      <c r="B116" s="2" t="s">
        <v>547</v>
      </c>
      <c r="C116" s="2" t="s">
        <v>548</v>
      </c>
      <c r="D116" s="2" t="s">
        <v>20</v>
      </c>
      <c r="E116" s="2" t="s">
        <v>14</v>
      </c>
      <c r="F116" s="2" t="n">
        <v>1</v>
      </c>
      <c r="G116" s="2"/>
      <c r="H116" s="5" t="s">
        <v>45</v>
      </c>
      <c r="I116" s="2" t="s">
        <v>549</v>
      </c>
      <c r="J116" s="2" t="s">
        <v>550</v>
      </c>
      <c r="K116" s="2" t="s">
        <v>551</v>
      </c>
    </row>
    <row r="117" customFormat="false" ht="15" hidden="false" customHeight="false" outlineLevel="0" collapsed="false">
      <c r="A117" s="2" t="n">
        <v>116</v>
      </c>
      <c r="B117" s="2" t="s">
        <v>552</v>
      </c>
      <c r="C117" s="2" t="s">
        <v>553</v>
      </c>
      <c r="D117" s="2" t="s">
        <v>20</v>
      </c>
      <c r="E117" s="2" t="s">
        <v>14</v>
      </c>
      <c r="F117" s="2" t="n">
        <v>1</v>
      </c>
      <c r="G117" s="2"/>
      <c r="H117" s="5" t="s">
        <v>45</v>
      </c>
      <c r="I117" s="2" t="s">
        <v>554</v>
      </c>
      <c r="J117" s="2" t="s">
        <v>555</v>
      </c>
      <c r="K117" s="2" t="s">
        <v>556</v>
      </c>
    </row>
    <row r="118" customFormat="false" ht="15" hidden="false" customHeight="false" outlineLevel="0" collapsed="false">
      <c r="A118" s="2" t="n">
        <v>117</v>
      </c>
      <c r="B118" s="2" t="s">
        <v>552</v>
      </c>
      <c r="C118" s="2" t="s">
        <v>557</v>
      </c>
      <c r="D118" s="2" t="s">
        <v>42</v>
      </c>
      <c r="E118" s="2" t="s">
        <v>43</v>
      </c>
      <c r="F118" s="2" t="n">
        <v>1</v>
      </c>
      <c r="G118" s="2" t="s">
        <v>558</v>
      </c>
      <c r="H118" s="5" t="s">
        <v>45</v>
      </c>
      <c r="I118" s="2" t="s">
        <v>559</v>
      </c>
      <c r="J118" s="2" t="s">
        <v>47</v>
      </c>
      <c r="K118" s="2"/>
    </row>
    <row r="119" customFormat="false" ht="15" hidden="false" customHeight="false" outlineLevel="0" collapsed="false">
      <c r="A119" s="2" t="n">
        <v>118</v>
      </c>
      <c r="B119" s="2" t="s">
        <v>560</v>
      </c>
      <c r="C119" s="2" t="s">
        <v>26</v>
      </c>
      <c r="D119" s="2" t="s">
        <v>20</v>
      </c>
      <c r="E119" s="2" t="s">
        <v>14</v>
      </c>
      <c r="F119" s="2" t="n">
        <v>1</v>
      </c>
      <c r="G119" s="2"/>
      <c r="H119" s="3" t="s">
        <v>15</v>
      </c>
      <c r="I119" s="2" t="s">
        <v>561</v>
      </c>
      <c r="J119" s="2" t="s">
        <v>562</v>
      </c>
      <c r="K119" s="2" t="s">
        <v>563</v>
      </c>
    </row>
    <row r="120" customFormat="false" ht="15" hidden="false" customHeight="false" outlineLevel="0" collapsed="false">
      <c r="A120" s="2" t="n">
        <v>119</v>
      </c>
      <c r="B120" s="2" t="s">
        <v>564</v>
      </c>
      <c r="C120" s="2" t="s">
        <v>565</v>
      </c>
      <c r="D120" s="2" t="s">
        <v>13</v>
      </c>
      <c r="E120" s="2" t="s">
        <v>14</v>
      </c>
      <c r="F120" s="2" t="n">
        <v>1</v>
      </c>
      <c r="G120" s="2"/>
      <c r="H120" s="3" t="s">
        <v>15</v>
      </c>
      <c r="I120" s="2" t="s">
        <v>566</v>
      </c>
      <c r="J120" s="2" t="s">
        <v>567</v>
      </c>
      <c r="K120" s="2" t="s">
        <v>568</v>
      </c>
    </row>
    <row r="121" customFormat="false" ht="15" hidden="false" customHeight="false" outlineLevel="0" collapsed="false">
      <c r="A121" s="2" t="n">
        <v>120</v>
      </c>
      <c r="B121" s="2" t="s">
        <v>569</v>
      </c>
      <c r="C121" s="2" t="s">
        <v>297</v>
      </c>
      <c r="D121" s="2" t="s">
        <v>13</v>
      </c>
      <c r="E121" s="2" t="s">
        <v>14</v>
      </c>
      <c r="F121" s="2" t="n">
        <v>1</v>
      </c>
      <c r="G121" s="2"/>
      <c r="H121" s="4" t="s">
        <v>21</v>
      </c>
      <c r="I121" s="2" t="s">
        <v>570</v>
      </c>
      <c r="J121" s="2" t="s">
        <v>571</v>
      </c>
      <c r="K121" s="2" t="s">
        <v>572</v>
      </c>
    </row>
    <row r="122" customFormat="false" ht="15" hidden="false" customHeight="false" outlineLevel="0" collapsed="false">
      <c r="A122" s="2" t="n">
        <v>121</v>
      </c>
      <c r="B122" s="2" t="s">
        <v>573</v>
      </c>
      <c r="C122" s="2" t="s">
        <v>574</v>
      </c>
      <c r="D122" s="2" t="s">
        <v>42</v>
      </c>
      <c r="E122" s="2" t="s">
        <v>43</v>
      </c>
      <c r="F122" s="2" t="n">
        <v>1</v>
      </c>
      <c r="G122" s="2" t="s">
        <v>575</v>
      </c>
      <c r="H122" s="4" t="s">
        <v>21</v>
      </c>
      <c r="I122" s="2" t="s">
        <v>576</v>
      </c>
      <c r="J122" s="2" t="s">
        <v>577</v>
      </c>
      <c r="K122" s="2" t="s">
        <v>578</v>
      </c>
    </row>
    <row r="123" customFormat="false" ht="15" hidden="false" customHeight="false" outlineLevel="0" collapsed="false">
      <c r="A123" s="2" t="n">
        <v>122</v>
      </c>
      <c r="B123" s="2" t="s">
        <v>579</v>
      </c>
      <c r="C123" s="2" t="s">
        <v>407</v>
      </c>
      <c r="D123" s="2" t="s">
        <v>20</v>
      </c>
      <c r="E123" s="2" t="s">
        <v>14</v>
      </c>
      <c r="F123" s="2" t="n">
        <v>1</v>
      </c>
      <c r="G123" s="2"/>
      <c r="H123" s="3" t="s">
        <v>15</v>
      </c>
      <c r="I123" s="2" t="s">
        <v>16</v>
      </c>
      <c r="J123" s="2" t="s">
        <v>580</v>
      </c>
      <c r="K123" s="2"/>
    </row>
    <row r="124" customFormat="false" ht="15" hidden="false" customHeight="false" outlineLevel="0" collapsed="false">
      <c r="A124" s="2" t="n">
        <v>123</v>
      </c>
      <c r="B124" s="2" t="s">
        <v>579</v>
      </c>
      <c r="C124" s="2" t="s">
        <v>581</v>
      </c>
      <c r="D124" s="2" t="s">
        <v>258</v>
      </c>
      <c r="E124" s="2" t="s">
        <v>43</v>
      </c>
      <c r="F124" s="2" t="n">
        <v>2</v>
      </c>
      <c r="G124" s="2" t="s">
        <v>582</v>
      </c>
      <c r="H124" s="3" t="s">
        <v>15</v>
      </c>
      <c r="I124" s="2" t="s">
        <v>16</v>
      </c>
      <c r="J124" s="2" t="s">
        <v>583</v>
      </c>
      <c r="K124" s="2"/>
    </row>
    <row r="125" customFormat="false" ht="15" hidden="false" customHeight="false" outlineLevel="0" collapsed="false">
      <c r="A125" s="2" t="n">
        <v>124</v>
      </c>
      <c r="B125" s="2" t="s">
        <v>584</v>
      </c>
      <c r="C125" s="2" t="s">
        <v>585</v>
      </c>
      <c r="D125" s="2" t="s">
        <v>61</v>
      </c>
      <c r="E125" s="2" t="s">
        <v>43</v>
      </c>
      <c r="F125" s="2" t="n">
        <v>1</v>
      </c>
      <c r="G125" s="2" t="s">
        <v>586</v>
      </c>
      <c r="H125" s="4" t="s">
        <v>21</v>
      </c>
      <c r="I125" s="2" t="s">
        <v>587</v>
      </c>
      <c r="J125" s="2" t="s">
        <v>588</v>
      </c>
      <c r="K125" s="2" t="s">
        <v>589</v>
      </c>
    </row>
    <row r="126" customFormat="false" ht="15" hidden="false" customHeight="false" outlineLevel="0" collapsed="false">
      <c r="A126" s="2" t="n">
        <v>125</v>
      </c>
      <c r="B126" s="2" t="s">
        <v>590</v>
      </c>
      <c r="C126" s="2" t="s">
        <v>591</v>
      </c>
      <c r="D126" s="2" t="s">
        <v>42</v>
      </c>
      <c r="E126" s="2" t="s">
        <v>43</v>
      </c>
      <c r="F126" s="2" t="n">
        <v>2</v>
      </c>
      <c r="G126" s="2" t="s">
        <v>592</v>
      </c>
      <c r="H126" s="3" t="s">
        <v>15</v>
      </c>
      <c r="I126" s="2" t="s">
        <v>16</v>
      </c>
      <c r="J126" s="2" t="s">
        <v>593</v>
      </c>
      <c r="K126" s="2"/>
    </row>
    <row r="127" customFormat="false" ht="15" hidden="false" customHeight="false" outlineLevel="0" collapsed="false">
      <c r="A127" s="2" t="n">
        <v>126</v>
      </c>
      <c r="B127" s="2" t="s">
        <v>594</v>
      </c>
      <c r="C127" s="2" t="s">
        <v>201</v>
      </c>
      <c r="D127" s="2" t="s">
        <v>13</v>
      </c>
      <c r="E127" s="2" t="s">
        <v>14</v>
      </c>
      <c r="F127" s="2" t="n">
        <v>1</v>
      </c>
      <c r="G127" s="2"/>
      <c r="H127" s="4" t="s">
        <v>21</v>
      </c>
      <c r="I127" s="2" t="s">
        <v>595</v>
      </c>
      <c r="J127" s="2" t="s">
        <v>596</v>
      </c>
      <c r="K127" s="2" t="s">
        <v>597</v>
      </c>
    </row>
    <row r="128" customFormat="false" ht="15" hidden="false" customHeight="false" outlineLevel="0" collapsed="false">
      <c r="A128" s="2" t="n">
        <v>127</v>
      </c>
      <c r="B128" s="2" t="s">
        <v>598</v>
      </c>
      <c r="C128" s="2" t="s">
        <v>599</v>
      </c>
      <c r="D128" s="2" t="s">
        <v>13</v>
      </c>
      <c r="E128" s="2" t="s">
        <v>14</v>
      </c>
      <c r="F128" s="2" t="n">
        <v>3</v>
      </c>
      <c r="G128" s="2"/>
      <c r="H128" s="4" t="s">
        <v>21</v>
      </c>
      <c r="I128" s="2" t="s">
        <v>468</v>
      </c>
      <c r="J128" s="2" t="s">
        <v>600</v>
      </c>
      <c r="K128" s="2" t="s">
        <v>601</v>
      </c>
    </row>
    <row r="129" customFormat="false" ht="15" hidden="false" customHeight="false" outlineLevel="0" collapsed="false">
      <c r="A129" s="2" t="n">
        <v>128</v>
      </c>
      <c r="B129" s="2" t="s">
        <v>602</v>
      </c>
      <c r="C129" s="2" t="s">
        <v>603</v>
      </c>
      <c r="D129" s="2" t="s">
        <v>13</v>
      </c>
      <c r="E129" s="2" t="s">
        <v>14</v>
      </c>
      <c r="F129" s="2" t="n">
        <v>1</v>
      </c>
      <c r="G129" s="2"/>
      <c r="H129" s="3" t="s">
        <v>15</v>
      </c>
      <c r="I129" s="2" t="s">
        <v>604</v>
      </c>
      <c r="J129" s="2" t="s">
        <v>605</v>
      </c>
      <c r="K129" s="2" t="s">
        <v>606</v>
      </c>
    </row>
    <row r="130" customFormat="false" ht="15" hidden="false" customHeight="false" outlineLevel="0" collapsed="false">
      <c r="A130" s="2" t="n">
        <v>129</v>
      </c>
      <c r="B130" s="2" t="s">
        <v>607</v>
      </c>
      <c r="C130" s="2" t="s">
        <v>272</v>
      </c>
      <c r="D130" s="2" t="s">
        <v>13</v>
      </c>
      <c r="E130" s="2" t="s">
        <v>14</v>
      </c>
      <c r="F130" s="2" t="n">
        <v>1</v>
      </c>
      <c r="G130" s="2"/>
      <c r="H130" s="4" t="s">
        <v>21</v>
      </c>
      <c r="I130" s="2" t="s">
        <v>608</v>
      </c>
      <c r="J130" s="2" t="s">
        <v>609</v>
      </c>
      <c r="K130" s="2" t="s">
        <v>610</v>
      </c>
    </row>
    <row r="131" customFormat="false" ht="15" hidden="false" customHeight="false" outlineLevel="0" collapsed="false">
      <c r="A131" s="2" t="n">
        <v>130</v>
      </c>
      <c r="B131" s="2" t="s">
        <v>611</v>
      </c>
      <c r="C131" s="2" t="s">
        <v>612</v>
      </c>
      <c r="D131" s="2" t="s">
        <v>20</v>
      </c>
      <c r="E131" s="2" t="s">
        <v>14</v>
      </c>
      <c r="F131" s="2" t="n">
        <v>1</v>
      </c>
      <c r="G131" s="2"/>
      <c r="H131" s="3" t="s">
        <v>15</v>
      </c>
      <c r="I131" s="2" t="s">
        <v>343</v>
      </c>
      <c r="J131" s="2" t="s">
        <v>613</v>
      </c>
      <c r="K131" s="2"/>
    </row>
    <row r="132" customFormat="false" ht="15" hidden="false" customHeight="false" outlineLevel="0" collapsed="false">
      <c r="A132" s="2" t="n">
        <v>131</v>
      </c>
      <c r="B132" s="2" t="s">
        <v>614</v>
      </c>
      <c r="C132" s="2" t="s">
        <v>429</v>
      </c>
      <c r="D132" s="2" t="s">
        <v>42</v>
      </c>
      <c r="E132" s="2" t="s">
        <v>43</v>
      </c>
      <c r="F132" s="2" t="n">
        <v>1</v>
      </c>
      <c r="G132" s="2" t="s">
        <v>615</v>
      </c>
      <c r="H132" s="5" t="s">
        <v>45</v>
      </c>
      <c r="I132" s="2" t="s">
        <v>616</v>
      </c>
      <c r="J132" s="2" t="s">
        <v>47</v>
      </c>
      <c r="K132" s="2"/>
    </row>
    <row r="133" customFormat="false" ht="15" hidden="false" customHeight="false" outlineLevel="0" collapsed="false">
      <c r="A133" s="2" t="n">
        <v>132</v>
      </c>
      <c r="B133" s="2" t="s">
        <v>617</v>
      </c>
      <c r="C133" s="2" t="s">
        <v>618</v>
      </c>
      <c r="D133" s="2" t="s">
        <v>13</v>
      </c>
      <c r="E133" s="2" t="s">
        <v>14</v>
      </c>
      <c r="F133" s="2" t="n">
        <v>1</v>
      </c>
      <c r="G133" s="2"/>
      <c r="H133" s="4" t="s">
        <v>21</v>
      </c>
      <c r="I133" s="2" t="s">
        <v>619</v>
      </c>
      <c r="J133" s="2" t="s">
        <v>620</v>
      </c>
      <c r="K133" s="2" t="s">
        <v>621</v>
      </c>
    </row>
    <row r="134" customFormat="false" ht="15" hidden="false" customHeight="false" outlineLevel="0" collapsed="false">
      <c r="A134" s="2" t="n">
        <v>133</v>
      </c>
      <c r="B134" s="2" t="s">
        <v>622</v>
      </c>
      <c r="C134" s="2" t="s">
        <v>623</v>
      </c>
      <c r="D134" s="2" t="s">
        <v>13</v>
      </c>
      <c r="E134" s="2" t="s">
        <v>14</v>
      </c>
      <c r="F134" s="2" t="n">
        <v>1</v>
      </c>
      <c r="G134" s="2"/>
      <c r="H134" s="4" t="s">
        <v>21</v>
      </c>
      <c r="I134" s="2" t="s">
        <v>176</v>
      </c>
      <c r="J134" s="2" t="s">
        <v>624</v>
      </c>
      <c r="K134" s="2" t="s">
        <v>625</v>
      </c>
    </row>
    <row r="135" customFormat="false" ht="15" hidden="false" customHeight="false" outlineLevel="0" collapsed="false">
      <c r="A135" s="2" t="n">
        <v>134</v>
      </c>
      <c r="B135" s="2" t="s">
        <v>626</v>
      </c>
      <c r="C135" s="2" t="s">
        <v>627</v>
      </c>
      <c r="D135" s="2" t="s">
        <v>13</v>
      </c>
      <c r="E135" s="2" t="s">
        <v>14</v>
      </c>
      <c r="F135" s="2" t="n">
        <v>1</v>
      </c>
      <c r="G135" s="2"/>
      <c r="H135" s="4" t="s">
        <v>21</v>
      </c>
      <c r="I135" s="2" t="s">
        <v>628</v>
      </c>
      <c r="J135" s="2" t="s">
        <v>629</v>
      </c>
      <c r="K135" s="2" t="s">
        <v>630</v>
      </c>
    </row>
    <row r="136" customFormat="false" ht="15" hidden="false" customHeight="false" outlineLevel="0" collapsed="false">
      <c r="A136" s="2" t="n">
        <v>135</v>
      </c>
      <c r="B136" s="2" t="s">
        <v>631</v>
      </c>
      <c r="C136" s="2" t="s">
        <v>632</v>
      </c>
      <c r="D136" s="2" t="s">
        <v>61</v>
      </c>
      <c r="E136" s="2" t="s">
        <v>43</v>
      </c>
      <c r="F136" s="2" t="n">
        <v>1</v>
      </c>
      <c r="G136" s="2" t="s">
        <v>633</v>
      </c>
      <c r="H136" s="4" t="s">
        <v>21</v>
      </c>
      <c r="I136" s="2" t="s">
        <v>634</v>
      </c>
      <c r="J136" s="2" t="s">
        <v>635</v>
      </c>
      <c r="K136" s="2" t="s">
        <v>275</v>
      </c>
    </row>
    <row r="137" customFormat="false" ht="15" hidden="false" customHeight="false" outlineLevel="0" collapsed="false">
      <c r="A137" s="2" t="n">
        <v>136</v>
      </c>
      <c r="B137" s="2" t="s">
        <v>636</v>
      </c>
      <c r="C137" s="2" t="s">
        <v>93</v>
      </c>
      <c r="D137" s="2" t="s">
        <v>61</v>
      </c>
      <c r="E137" s="2" t="s">
        <v>43</v>
      </c>
      <c r="F137" s="2" t="n">
        <v>1</v>
      </c>
      <c r="G137" s="2" t="s">
        <v>637</v>
      </c>
      <c r="H137" s="3" t="s">
        <v>15</v>
      </c>
      <c r="I137" s="2" t="s">
        <v>638</v>
      </c>
      <c r="J137" s="2" t="s">
        <v>639</v>
      </c>
      <c r="K137" s="2" t="s">
        <v>640</v>
      </c>
    </row>
    <row r="138" customFormat="false" ht="15" hidden="false" customHeight="false" outlineLevel="0" collapsed="false">
      <c r="A138" s="2" t="n">
        <v>137</v>
      </c>
      <c r="B138" s="2" t="s">
        <v>641</v>
      </c>
      <c r="C138" s="2" t="s">
        <v>642</v>
      </c>
      <c r="D138" s="2" t="s">
        <v>20</v>
      </c>
      <c r="E138" s="2" t="s">
        <v>14</v>
      </c>
      <c r="F138" s="2" t="n">
        <v>1</v>
      </c>
      <c r="G138" s="2"/>
      <c r="H138" s="5" t="s">
        <v>45</v>
      </c>
      <c r="I138" s="2" t="s">
        <v>643</v>
      </c>
      <c r="J138" s="2" t="s">
        <v>644</v>
      </c>
      <c r="K138" s="2" t="s">
        <v>645</v>
      </c>
    </row>
    <row r="139" customFormat="false" ht="15" hidden="false" customHeight="false" outlineLevel="0" collapsed="false">
      <c r="A139" s="2" t="n">
        <v>138</v>
      </c>
      <c r="B139" s="2" t="s">
        <v>646</v>
      </c>
      <c r="C139" s="2" t="s">
        <v>647</v>
      </c>
      <c r="D139" s="2" t="s">
        <v>61</v>
      </c>
      <c r="E139" s="2" t="s">
        <v>43</v>
      </c>
      <c r="F139" s="2" t="n">
        <v>1</v>
      </c>
      <c r="G139" s="2" t="s">
        <v>648</v>
      </c>
      <c r="H139" s="4" t="s">
        <v>21</v>
      </c>
      <c r="I139" s="2" t="s">
        <v>649</v>
      </c>
      <c r="J139" s="2" t="s">
        <v>650</v>
      </c>
      <c r="K139" s="2" t="s">
        <v>651</v>
      </c>
    </row>
    <row r="140" customFormat="false" ht="15" hidden="false" customHeight="false" outlineLevel="0" collapsed="false">
      <c r="A140" s="2" t="n">
        <v>139</v>
      </c>
      <c r="B140" s="2" t="s">
        <v>652</v>
      </c>
      <c r="C140" s="2" t="s">
        <v>378</v>
      </c>
      <c r="D140" s="2" t="s">
        <v>98</v>
      </c>
      <c r="E140" s="2" t="s">
        <v>14</v>
      </c>
      <c r="F140" s="2" t="n">
        <v>4</v>
      </c>
      <c r="G140" s="2"/>
      <c r="H140" s="4" t="s">
        <v>21</v>
      </c>
      <c r="I140" s="2" t="s">
        <v>653</v>
      </c>
      <c r="J140" s="2" t="s">
        <v>654</v>
      </c>
      <c r="K140" s="2" t="s">
        <v>655</v>
      </c>
    </row>
    <row r="141" customFormat="false" ht="15" hidden="false" customHeight="false" outlineLevel="0" collapsed="false">
      <c r="A141" s="2" t="n">
        <v>140</v>
      </c>
      <c r="B141" s="2" t="s">
        <v>656</v>
      </c>
      <c r="C141" s="2" t="s">
        <v>496</v>
      </c>
      <c r="D141" s="2" t="s">
        <v>13</v>
      </c>
      <c r="E141" s="2" t="s">
        <v>14</v>
      </c>
      <c r="F141" s="2" t="n">
        <v>1</v>
      </c>
      <c r="G141" s="2"/>
      <c r="H141" s="4" t="s">
        <v>21</v>
      </c>
      <c r="I141" s="2" t="s">
        <v>657</v>
      </c>
      <c r="J141" s="2" t="s">
        <v>658</v>
      </c>
      <c r="K141" s="2" t="s">
        <v>659</v>
      </c>
    </row>
    <row r="142" customFormat="false" ht="15" hidden="false" customHeight="false" outlineLevel="0" collapsed="false">
      <c r="A142" s="2" t="n">
        <v>141</v>
      </c>
      <c r="B142" s="2" t="s">
        <v>660</v>
      </c>
      <c r="C142" s="2" t="s">
        <v>272</v>
      </c>
      <c r="D142" s="2" t="s">
        <v>42</v>
      </c>
      <c r="E142" s="2" t="s">
        <v>43</v>
      </c>
      <c r="F142" s="2" t="n">
        <v>4</v>
      </c>
      <c r="G142" s="2" t="s">
        <v>661</v>
      </c>
      <c r="H142" s="4" t="s">
        <v>21</v>
      </c>
      <c r="I142" s="2" t="s">
        <v>662</v>
      </c>
      <c r="J142" s="2" t="s">
        <v>663</v>
      </c>
      <c r="K142" s="2" t="s">
        <v>664</v>
      </c>
    </row>
    <row r="143" customFormat="false" ht="15" hidden="false" customHeight="false" outlineLevel="0" collapsed="false">
      <c r="A143" s="2" t="n">
        <v>142</v>
      </c>
      <c r="B143" s="2" t="s">
        <v>660</v>
      </c>
      <c r="C143" s="2" t="s">
        <v>665</v>
      </c>
      <c r="D143" s="2" t="s">
        <v>13</v>
      </c>
      <c r="E143" s="2" t="s">
        <v>14</v>
      </c>
      <c r="F143" s="2" t="n">
        <v>2</v>
      </c>
      <c r="G143" s="2"/>
      <c r="H143" s="4" t="s">
        <v>21</v>
      </c>
      <c r="I143" s="2" t="s">
        <v>666</v>
      </c>
      <c r="J143" s="2" t="s">
        <v>667</v>
      </c>
      <c r="K143" s="2" t="s">
        <v>668</v>
      </c>
    </row>
    <row r="144" customFormat="false" ht="15" hidden="false" customHeight="false" outlineLevel="0" collapsed="false">
      <c r="A144" s="2" t="n">
        <v>143</v>
      </c>
      <c r="B144" s="2" t="s">
        <v>669</v>
      </c>
      <c r="C144" s="2" t="s">
        <v>670</v>
      </c>
      <c r="D144" s="2" t="s">
        <v>13</v>
      </c>
      <c r="E144" s="2" t="s">
        <v>14</v>
      </c>
      <c r="F144" s="2" t="n">
        <v>2</v>
      </c>
      <c r="G144" s="2"/>
      <c r="H144" s="4" t="s">
        <v>21</v>
      </c>
      <c r="I144" s="2" t="s">
        <v>671</v>
      </c>
      <c r="J144" s="2" t="s">
        <v>672</v>
      </c>
      <c r="K144" s="2" t="s">
        <v>673</v>
      </c>
    </row>
    <row r="145" customFormat="false" ht="15" hidden="false" customHeight="false" outlineLevel="0" collapsed="false">
      <c r="A145" s="2" t="n">
        <v>144</v>
      </c>
      <c r="B145" s="2" t="s">
        <v>674</v>
      </c>
      <c r="C145" s="2" t="s">
        <v>675</v>
      </c>
      <c r="D145" s="2" t="s">
        <v>13</v>
      </c>
      <c r="E145" s="2" t="s">
        <v>14</v>
      </c>
      <c r="F145" s="2" t="n">
        <v>1</v>
      </c>
      <c r="G145" s="2"/>
      <c r="H145" s="4" t="s">
        <v>21</v>
      </c>
      <c r="I145" s="2" t="s">
        <v>676</v>
      </c>
      <c r="J145" s="2" t="s">
        <v>677</v>
      </c>
      <c r="K145" s="2" t="s">
        <v>678</v>
      </c>
    </row>
    <row r="146" customFormat="false" ht="15" hidden="false" customHeight="false" outlineLevel="0" collapsed="false">
      <c r="A146" s="2" t="n">
        <v>145</v>
      </c>
      <c r="B146" s="2" t="s">
        <v>679</v>
      </c>
      <c r="C146" s="2" t="s">
        <v>680</v>
      </c>
      <c r="D146" s="2" t="s">
        <v>20</v>
      </c>
      <c r="E146" s="2" t="s">
        <v>14</v>
      </c>
      <c r="F146" s="2" t="n">
        <v>1</v>
      </c>
      <c r="G146" s="2"/>
      <c r="H146" s="5" t="s">
        <v>45</v>
      </c>
      <c r="I146" s="2" t="s">
        <v>681</v>
      </c>
      <c r="J146" s="2" t="s">
        <v>682</v>
      </c>
      <c r="K146" s="2" t="s">
        <v>683</v>
      </c>
    </row>
    <row r="147" customFormat="false" ht="15" hidden="false" customHeight="false" outlineLevel="0" collapsed="false">
      <c r="A147" s="2" t="n">
        <v>146</v>
      </c>
      <c r="B147" s="2" t="s">
        <v>684</v>
      </c>
      <c r="C147" s="2" t="s">
        <v>685</v>
      </c>
      <c r="D147" s="2" t="s">
        <v>61</v>
      </c>
      <c r="E147" s="2" t="s">
        <v>43</v>
      </c>
      <c r="F147" s="2" t="n">
        <v>2</v>
      </c>
      <c r="G147" s="2" t="s">
        <v>686</v>
      </c>
      <c r="H147" s="4" t="s">
        <v>21</v>
      </c>
      <c r="I147" s="2" t="s">
        <v>662</v>
      </c>
      <c r="J147" s="2" t="s">
        <v>687</v>
      </c>
      <c r="K147" s="2" t="s">
        <v>688</v>
      </c>
    </row>
    <row r="148" customFormat="false" ht="15" hidden="false" customHeight="false" outlineLevel="0" collapsed="false">
      <c r="A148" s="2" t="n">
        <v>147</v>
      </c>
      <c r="B148" s="2" t="s">
        <v>689</v>
      </c>
      <c r="C148" s="2" t="s">
        <v>690</v>
      </c>
      <c r="D148" s="2" t="s">
        <v>13</v>
      </c>
      <c r="E148" s="2" t="s">
        <v>14</v>
      </c>
      <c r="F148" s="2" t="n">
        <v>1</v>
      </c>
      <c r="G148" s="2"/>
      <c r="H148" s="4" t="s">
        <v>21</v>
      </c>
      <c r="I148" s="2" t="s">
        <v>691</v>
      </c>
      <c r="J148" s="2" t="s">
        <v>692</v>
      </c>
      <c r="K148" s="2" t="s">
        <v>693</v>
      </c>
    </row>
    <row r="149" customFormat="false" ht="15" hidden="false" customHeight="false" outlineLevel="0" collapsed="false">
      <c r="A149" s="2" t="n">
        <v>148</v>
      </c>
      <c r="B149" s="2" t="s">
        <v>694</v>
      </c>
      <c r="C149" s="2" t="s">
        <v>695</v>
      </c>
      <c r="D149" s="2" t="s">
        <v>42</v>
      </c>
      <c r="E149" s="2" t="s">
        <v>43</v>
      </c>
      <c r="F149" s="2" t="n">
        <v>1</v>
      </c>
      <c r="G149" s="2" t="s">
        <v>696</v>
      </c>
      <c r="H149" s="3" t="s">
        <v>15</v>
      </c>
      <c r="I149" s="2" t="s">
        <v>343</v>
      </c>
      <c r="J149" s="2" t="s">
        <v>697</v>
      </c>
      <c r="K149" s="2"/>
    </row>
    <row r="150" customFormat="false" ht="15" hidden="false" customHeight="false" outlineLevel="0" collapsed="false">
      <c r="A150" s="2" t="n">
        <v>149</v>
      </c>
      <c r="B150" s="2" t="s">
        <v>698</v>
      </c>
      <c r="C150" s="2" t="s">
        <v>690</v>
      </c>
      <c r="D150" s="2" t="s">
        <v>61</v>
      </c>
      <c r="E150" s="2" t="s">
        <v>43</v>
      </c>
      <c r="F150" s="2" t="n">
        <v>2</v>
      </c>
      <c r="G150" s="2" t="s">
        <v>699</v>
      </c>
      <c r="H150" s="4" t="s">
        <v>21</v>
      </c>
      <c r="I150" s="2" t="s">
        <v>700</v>
      </c>
      <c r="J150" s="2" t="s">
        <v>701</v>
      </c>
      <c r="K150" s="2" t="s">
        <v>702</v>
      </c>
    </row>
    <row r="151" customFormat="false" ht="15" hidden="false" customHeight="false" outlineLevel="0" collapsed="false">
      <c r="A151" s="2" t="n">
        <v>150</v>
      </c>
      <c r="B151" s="2" t="s">
        <v>703</v>
      </c>
      <c r="C151" s="2" t="s">
        <v>704</v>
      </c>
      <c r="D151" s="2" t="s">
        <v>13</v>
      </c>
      <c r="E151" s="2" t="s">
        <v>14</v>
      </c>
      <c r="F151" s="2" t="n">
        <v>2</v>
      </c>
      <c r="G151" s="2"/>
      <c r="H151" s="4" t="s">
        <v>21</v>
      </c>
      <c r="I151" s="2" t="s">
        <v>705</v>
      </c>
      <c r="J151" s="2" t="s">
        <v>706</v>
      </c>
      <c r="K151" s="2" t="s">
        <v>707</v>
      </c>
    </row>
    <row r="152" customFormat="false" ht="15" hidden="false" customHeight="false" outlineLevel="0" collapsed="false">
      <c r="A152" s="2" t="n">
        <v>151</v>
      </c>
      <c r="B152" s="2" t="s">
        <v>708</v>
      </c>
      <c r="C152" s="2" t="s">
        <v>709</v>
      </c>
      <c r="D152" s="2" t="s">
        <v>13</v>
      </c>
      <c r="E152" s="2" t="s">
        <v>14</v>
      </c>
      <c r="F152" s="2" t="n">
        <v>1</v>
      </c>
      <c r="G152" s="2"/>
      <c r="H152" s="4" t="s">
        <v>21</v>
      </c>
      <c r="I152" s="2" t="s">
        <v>710</v>
      </c>
      <c r="J152" s="2" t="s">
        <v>711</v>
      </c>
      <c r="K152" s="2" t="s">
        <v>712</v>
      </c>
    </row>
    <row r="153" customFormat="false" ht="15" hidden="false" customHeight="false" outlineLevel="0" collapsed="false">
      <c r="A153" s="2" t="n">
        <v>152</v>
      </c>
      <c r="B153" s="2" t="s">
        <v>713</v>
      </c>
      <c r="C153" s="2" t="s">
        <v>714</v>
      </c>
      <c r="D153" s="2" t="s">
        <v>13</v>
      </c>
      <c r="E153" s="2" t="s">
        <v>14</v>
      </c>
      <c r="F153" s="2" t="n">
        <v>1</v>
      </c>
      <c r="G153" s="2"/>
      <c r="H153" s="4" t="s">
        <v>21</v>
      </c>
      <c r="I153" s="2" t="s">
        <v>715</v>
      </c>
      <c r="J153" s="2" t="s">
        <v>716</v>
      </c>
      <c r="K153" s="2" t="s">
        <v>717</v>
      </c>
    </row>
    <row r="154" customFormat="false" ht="15" hidden="false" customHeight="false" outlineLevel="0" collapsed="false">
      <c r="A154" s="2" t="n">
        <v>153</v>
      </c>
      <c r="B154" s="2" t="s">
        <v>718</v>
      </c>
      <c r="C154" s="2" t="s">
        <v>719</v>
      </c>
      <c r="D154" s="2" t="s">
        <v>42</v>
      </c>
      <c r="E154" s="2" t="s">
        <v>43</v>
      </c>
      <c r="F154" s="2" t="n">
        <v>1</v>
      </c>
      <c r="G154" s="2" t="s">
        <v>720</v>
      </c>
      <c r="H154" s="3" t="s">
        <v>15</v>
      </c>
      <c r="I154" s="2" t="s">
        <v>721</v>
      </c>
      <c r="J154" s="2" t="s">
        <v>722</v>
      </c>
      <c r="K154" s="2"/>
    </row>
    <row r="155" customFormat="false" ht="15" hidden="false" customHeight="false" outlineLevel="0" collapsed="false">
      <c r="A155" s="2" t="n">
        <v>154</v>
      </c>
      <c r="B155" s="2" t="s">
        <v>723</v>
      </c>
      <c r="C155" s="2" t="s">
        <v>591</v>
      </c>
      <c r="D155" s="2" t="s">
        <v>13</v>
      </c>
      <c r="E155" s="2" t="s">
        <v>14</v>
      </c>
      <c r="F155" s="2" t="n">
        <v>1</v>
      </c>
      <c r="G155" s="2"/>
      <c r="H155" s="4" t="s">
        <v>21</v>
      </c>
      <c r="I155" s="2" t="s">
        <v>653</v>
      </c>
      <c r="J155" s="2" t="s">
        <v>724</v>
      </c>
      <c r="K155" s="2" t="s">
        <v>725</v>
      </c>
    </row>
    <row r="156" customFormat="false" ht="15" hidden="false" customHeight="false" outlineLevel="0" collapsed="false">
      <c r="A156" s="2" t="n">
        <v>155</v>
      </c>
      <c r="B156" s="2" t="s">
        <v>726</v>
      </c>
      <c r="C156" s="2" t="s">
        <v>727</v>
      </c>
      <c r="D156" s="2" t="s">
        <v>13</v>
      </c>
      <c r="E156" s="2" t="s">
        <v>14</v>
      </c>
      <c r="F156" s="2" t="n">
        <v>3</v>
      </c>
      <c r="G156" s="2"/>
      <c r="H156" s="4" t="s">
        <v>21</v>
      </c>
      <c r="I156" s="2" t="s">
        <v>728</v>
      </c>
      <c r="J156" s="2" t="s">
        <v>729</v>
      </c>
      <c r="K156" s="2" t="s">
        <v>730</v>
      </c>
    </row>
    <row r="157" customFormat="false" ht="15" hidden="false" customHeight="false" outlineLevel="0" collapsed="false">
      <c r="A157" s="2" t="n">
        <v>156</v>
      </c>
      <c r="B157" s="2" t="s">
        <v>731</v>
      </c>
      <c r="C157" s="2" t="s">
        <v>732</v>
      </c>
      <c r="D157" s="2" t="s">
        <v>98</v>
      </c>
      <c r="E157" s="2" t="s">
        <v>14</v>
      </c>
      <c r="F157" s="2" t="n">
        <v>2</v>
      </c>
      <c r="G157" s="2"/>
      <c r="H157" s="4" t="s">
        <v>21</v>
      </c>
      <c r="I157" s="2" t="s">
        <v>303</v>
      </c>
      <c r="J157" s="2" t="s">
        <v>733</v>
      </c>
      <c r="K157" s="2" t="s">
        <v>734</v>
      </c>
    </row>
    <row r="158" customFormat="false" ht="15" hidden="false" customHeight="false" outlineLevel="0" collapsed="false">
      <c r="A158" s="2" t="n">
        <v>157</v>
      </c>
      <c r="B158" s="2" t="s">
        <v>735</v>
      </c>
      <c r="C158" s="2" t="s">
        <v>736</v>
      </c>
      <c r="D158" s="2" t="s">
        <v>13</v>
      </c>
      <c r="E158" s="2" t="s">
        <v>14</v>
      </c>
      <c r="F158" s="2" t="n">
        <v>1</v>
      </c>
      <c r="G158" s="2"/>
      <c r="H158" s="4" t="s">
        <v>21</v>
      </c>
      <c r="I158" s="2" t="s">
        <v>737</v>
      </c>
      <c r="J158" s="2" t="s">
        <v>738</v>
      </c>
      <c r="K158" s="2" t="s">
        <v>739</v>
      </c>
    </row>
    <row r="159" customFormat="false" ht="15" hidden="false" customHeight="false" outlineLevel="0" collapsed="false">
      <c r="A159" s="2" t="n">
        <v>158</v>
      </c>
      <c r="B159" s="2" t="s">
        <v>740</v>
      </c>
      <c r="C159" s="2" t="s">
        <v>741</v>
      </c>
      <c r="D159" s="2" t="s">
        <v>13</v>
      </c>
      <c r="E159" s="2" t="s">
        <v>14</v>
      </c>
      <c r="F159" s="2" t="n">
        <v>2</v>
      </c>
      <c r="G159" s="2"/>
      <c r="H159" s="4" t="s">
        <v>21</v>
      </c>
      <c r="I159" s="2" t="s">
        <v>176</v>
      </c>
      <c r="J159" s="2" t="s">
        <v>742</v>
      </c>
      <c r="K159" s="2" t="s">
        <v>743</v>
      </c>
    </row>
    <row r="160" customFormat="false" ht="15" hidden="false" customHeight="false" outlineLevel="0" collapsed="false">
      <c r="A160" s="2" t="n">
        <v>159</v>
      </c>
      <c r="B160" s="2" t="s">
        <v>744</v>
      </c>
      <c r="C160" s="2" t="s">
        <v>745</v>
      </c>
      <c r="D160" s="2" t="s">
        <v>20</v>
      </c>
      <c r="E160" s="2" t="s">
        <v>14</v>
      </c>
      <c r="F160" s="2" t="n">
        <v>1</v>
      </c>
      <c r="G160" s="2"/>
      <c r="H160" s="5" t="s">
        <v>45</v>
      </c>
      <c r="I160" s="2" t="s">
        <v>746</v>
      </c>
      <c r="J160" s="2" t="s">
        <v>747</v>
      </c>
      <c r="K160" s="2" t="s">
        <v>748</v>
      </c>
    </row>
    <row r="161" customFormat="false" ht="15" hidden="false" customHeight="false" outlineLevel="0" collapsed="false">
      <c r="A161" s="2" t="n">
        <v>160</v>
      </c>
      <c r="B161" s="2" t="s">
        <v>749</v>
      </c>
      <c r="C161" s="2" t="s">
        <v>394</v>
      </c>
      <c r="D161" s="2" t="s">
        <v>13</v>
      </c>
      <c r="E161" s="2" t="s">
        <v>14</v>
      </c>
      <c r="F161" s="2" t="n">
        <v>4</v>
      </c>
      <c r="G161" s="2"/>
      <c r="H161" s="4" t="s">
        <v>21</v>
      </c>
      <c r="I161" s="2" t="s">
        <v>750</v>
      </c>
      <c r="J161" s="2" t="s">
        <v>751</v>
      </c>
      <c r="K161" s="2" t="s">
        <v>752</v>
      </c>
    </row>
    <row r="162" customFormat="false" ht="15" hidden="false" customHeight="false" outlineLevel="0" collapsed="false">
      <c r="A162" s="2" t="n">
        <v>161</v>
      </c>
      <c r="B162" s="2" t="s">
        <v>753</v>
      </c>
      <c r="C162" s="2" t="s">
        <v>754</v>
      </c>
      <c r="D162" s="2" t="s">
        <v>61</v>
      </c>
      <c r="E162" s="2" t="s">
        <v>43</v>
      </c>
      <c r="F162" s="2" t="n">
        <v>1</v>
      </c>
      <c r="G162" s="2" t="s">
        <v>755</v>
      </c>
      <c r="H162" s="4" t="s">
        <v>21</v>
      </c>
      <c r="I162" s="2" t="s">
        <v>756</v>
      </c>
      <c r="J162" s="2" t="s">
        <v>757</v>
      </c>
      <c r="K162" s="2" t="s">
        <v>758</v>
      </c>
    </row>
    <row r="163" customFormat="false" ht="15" hidden="false" customHeight="false" outlineLevel="0" collapsed="false">
      <c r="A163" s="2" t="n">
        <v>162</v>
      </c>
      <c r="B163" s="2" t="s">
        <v>759</v>
      </c>
      <c r="C163" s="2" t="s">
        <v>760</v>
      </c>
      <c r="D163" s="2" t="s">
        <v>61</v>
      </c>
      <c r="E163" s="2" t="s">
        <v>43</v>
      </c>
      <c r="F163" s="2" t="n">
        <v>2</v>
      </c>
      <c r="G163" s="2" t="s">
        <v>761</v>
      </c>
      <c r="H163" s="4" t="s">
        <v>21</v>
      </c>
      <c r="I163" s="2" t="s">
        <v>762</v>
      </c>
      <c r="J163" s="2" t="s">
        <v>763</v>
      </c>
      <c r="K163" s="2" t="s">
        <v>764</v>
      </c>
    </row>
    <row r="164" customFormat="false" ht="15" hidden="false" customHeight="false" outlineLevel="0" collapsed="false">
      <c r="A164" s="2" t="n">
        <v>163</v>
      </c>
      <c r="B164" s="2" t="s">
        <v>765</v>
      </c>
      <c r="C164" s="2" t="s">
        <v>766</v>
      </c>
      <c r="D164" s="2" t="s">
        <v>61</v>
      </c>
      <c r="E164" s="2" t="s">
        <v>43</v>
      </c>
      <c r="F164" s="2" t="n">
        <v>1</v>
      </c>
      <c r="G164" s="2" t="s">
        <v>767</v>
      </c>
      <c r="H164" s="4" t="s">
        <v>21</v>
      </c>
      <c r="I164" s="2" t="s">
        <v>768</v>
      </c>
      <c r="J164" s="2" t="s">
        <v>769</v>
      </c>
      <c r="K164" s="2" t="s">
        <v>770</v>
      </c>
    </row>
    <row r="165" customFormat="false" ht="15" hidden="false" customHeight="false" outlineLevel="0" collapsed="false">
      <c r="A165" s="2" t="n">
        <v>164</v>
      </c>
      <c r="B165" s="2" t="s">
        <v>771</v>
      </c>
      <c r="C165" s="2" t="s">
        <v>401</v>
      </c>
      <c r="D165" s="2" t="s">
        <v>13</v>
      </c>
      <c r="E165" s="2" t="s">
        <v>14</v>
      </c>
      <c r="F165" s="2" t="n">
        <v>1</v>
      </c>
      <c r="G165" s="2"/>
      <c r="H165" s="4" t="s">
        <v>21</v>
      </c>
      <c r="I165" s="2" t="s">
        <v>772</v>
      </c>
      <c r="J165" s="2" t="s">
        <v>773</v>
      </c>
      <c r="K165" s="2" t="s">
        <v>774</v>
      </c>
    </row>
    <row r="166" customFormat="false" ht="15" hidden="false" customHeight="false" outlineLevel="0" collapsed="false">
      <c r="A166" s="2" t="n">
        <v>165</v>
      </c>
      <c r="B166" s="2" t="s">
        <v>775</v>
      </c>
      <c r="C166" s="2" t="s">
        <v>642</v>
      </c>
      <c r="D166" s="2" t="s">
        <v>13</v>
      </c>
      <c r="E166" s="2" t="s">
        <v>14</v>
      </c>
      <c r="F166" s="2" t="n">
        <v>2</v>
      </c>
      <c r="G166" s="2"/>
      <c r="H166" s="4" t="s">
        <v>21</v>
      </c>
      <c r="I166" s="2" t="s">
        <v>776</v>
      </c>
      <c r="J166" s="2" t="s">
        <v>777</v>
      </c>
      <c r="K166" s="2" t="s">
        <v>778</v>
      </c>
    </row>
    <row r="167" customFormat="false" ht="15" hidden="false" customHeight="false" outlineLevel="0" collapsed="false">
      <c r="A167" s="2" t="n">
        <v>166</v>
      </c>
      <c r="B167" s="2" t="s">
        <v>779</v>
      </c>
      <c r="C167" s="2" t="s">
        <v>780</v>
      </c>
      <c r="D167" s="2" t="s">
        <v>61</v>
      </c>
      <c r="E167" s="2" t="s">
        <v>43</v>
      </c>
      <c r="F167" s="2" t="n">
        <v>4</v>
      </c>
      <c r="G167" s="2" t="s">
        <v>781</v>
      </c>
      <c r="H167" s="4" t="s">
        <v>21</v>
      </c>
      <c r="I167" s="2" t="s">
        <v>662</v>
      </c>
      <c r="J167" s="2" t="s">
        <v>782</v>
      </c>
      <c r="K167" s="2" t="s">
        <v>783</v>
      </c>
    </row>
    <row r="168" customFormat="false" ht="15" hidden="false" customHeight="false" outlineLevel="0" collapsed="false">
      <c r="A168" s="2" t="n">
        <v>167</v>
      </c>
      <c r="B168" s="2" t="s">
        <v>784</v>
      </c>
      <c r="C168" s="2" t="s">
        <v>785</v>
      </c>
      <c r="D168" s="2" t="s">
        <v>13</v>
      </c>
      <c r="E168" s="2" t="s">
        <v>14</v>
      </c>
      <c r="F168" s="2" t="n">
        <v>1</v>
      </c>
      <c r="G168" s="2"/>
      <c r="H168" s="5" t="s">
        <v>45</v>
      </c>
      <c r="I168" s="2" t="s">
        <v>786</v>
      </c>
      <c r="J168" s="2" t="s">
        <v>787</v>
      </c>
      <c r="K168" s="2" t="s">
        <v>788</v>
      </c>
    </row>
    <row r="169" customFormat="false" ht="15" hidden="false" customHeight="false" outlineLevel="0" collapsed="false">
      <c r="A169" s="2" t="n">
        <v>168</v>
      </c>
      <c r="B169" s="2" t="s">
        <v>789</v>
      </c>
      <c r="C169" s="2" t="s">
        <v>790</v>
      </c>
      <c r="D169" s="2" t="s">
        <v>61</v>
      </c>
      <c r="E169" s="2" t="s">
        <v>43</v>
      </c>
      <c r="F169" s="2" t="n">
        <v>2</v>
      </c>
      <c r="G169" s="2" t="s">
        <v>791</v>
      </c>
      <c r="H169" s="4" t="s">
        <v>21</v>
      </c>
      <c r="I169" s="2" t="s">
        <v>792</v>
      </c>
      <c r="J169" s="2" t="s">
        <v>793</v>
      </c>
      <c r="K169" s="2" t="s">
        <v>794</v>
      </c>
    </row>
    <row r="170" customFormat="false" ht="15" hidden="false" customHeight="false" outlineLevel="0" collapsed="false">
      <c r="A170" s="2" t="n">
        <v>169</v>
      </c>
      <c r="B170" s="2" t="s">
        <v>795</v>
      </c>
      <c r="C170" s="2" t="s">
        <v>591</v>
      </c>
      <c r="D170" s="2" t="s">
        <v>13</v>
      </c>
      <c r="E170" s="2" t="s">
        <v>14</v>
      </c>
      <c r="F170" s="2" t="n">
        <v>1</v>
      </c>
      <c r="G170" s="2"/>
      <c r="H170" s="3" t="s">
        <v>15</v>
      </c>
      <c r="I170" s="2" t="s">
        <v>796</v>
      </c>
      <c r="J170" s="2" t="s">
        <v>797</v>
      </c>
      <c r="K170" s="2" t="s">
        <v>798</v>
      </c>
    </row>
    <row r="171" customFormat="false" ht="15" hidden="false" customHeight="false" outlineLevel="0" collapsed="false">
      <c r="A171" s="2" t="n">
        <v>170</v>
      </c>
      <c r="B171" s="2" t="s">
        <v>799</v>
      </c>
      <c r="C171" s="2" t="s">
        <v>175</v>
      </c>
      <c r="D171" s="2" t="s">
        <v>13</v>
      </c>
      <c r="E171" s="2" t="s">
        <v>14</v>
      </c>
      <c r="F171" s="2" t="n">
        <v>1</v>
      </c>
      <c r="G171" s="2"/>
      <c r="H171" s="4" t="s">
        <v>21</v>
      </c>
      <c r="I171" s="2" t="s">
        <v>800</v>
      </c>
      <c r="J171" s="2" t="s">
        <v>801</v>
      </c>
      <c r="K171" s="2" t="s">
        <v>802</v>
      </c>
    </row>
    <row r="172" customFormat="false" ht="15" hidden="false" customHeight="false" outlineLevel="0" collapsed="false">
      <c r="A172" s="2" t="n">
        <v>171</v>
      </c>
      <c r="B172" s="2" t="s">
        <v>803</v>
      </c>
      <c r="C172" s="2" t="s">
        <v>93</v>
      </c>
      <c r="D172" s="2" t="s">
        <v>42</v>
      </c>
      <c r="E172" s="2" t="s">
        <v>43</v>
      </c>
      <c r="F172" s="2" t="n">
        <v>1</v>
      </c>
      <c r="G172" s="2" t="s">
        <v>804</v>
      </c>
      <c r="H172" s="4" t="s">
        <v>21</v>
      </c>
      <c r="I172" s="2" t="s">
        <v>805</v>
      </c>
      <c r="J172" s="2" t="s">
        <v>806</v>
      </c>
      <c r="K172" s="2" t="s">
        <v>807</v>
      </c>
    </row>
    <row r="173" customFormat="false" ht="15" hidden="false" customHeight="false" outlineLevel="0" collapsed="false">
      <c r="A173" s="2" t="n">
        <v>172</v>
      </c>
      <c r="B173" s="2" t="s">
        <v>808</v>
      </c>
      <c r="C173" s="2" t="s">
        <v>809</v>
      </c>
      <c r="D173" s="2" t="s">
        <v>258</v>
      </c>
      <c r="E173" s="2" t="s">
        <v>43</v>
      </c>
      <c r="F173" s="2" t="n">
        <v>2</v>
      </c>
      <c r="G173" s="2" t="s">
        <v>810</v>
      </c>
      <c r="H173" s="3" t="s">
        <v>15</v>
      </c>
      <c r="I173" s="2" t="s">
        <v>811</v>
      </c>
      <c r="J173" s="2" t="s">
        <v>812</v>
      </c>
      <c r="K173" s="2" t="s">
        <v>813</v>
      </c>
    </row>
    <row r="174" customFormat="false" ht="15" hidden="false" customHeight="false" outlineLevel="0" collapsed="false">
      <c r="A174" s="2" t="n">
        <v>173</v>
      </c>
      <c r="B174" s="2" t="s">
        <v>814</v>
      </c>
      <c r="C174" s="2" t="s">
        <v>815</v>
      </c>
      <c r="D174" s="2" t="s">
        <v>20</v>
      </c>
      <c r="E174" s="2" t="s">
        <v>14</v>
      </c>
      <c r="F174" s="2" t="n">
        <v>1</v>
      </c>
      <c r="G174" s="2"/>
      <c r="H174" s="3" t="s">
        <v>15</v>
      </c>
      <c r="I174" s="2" t="s">
        <v>816</v>
      </c>
      <c r="J174" s="2" t="s">
        <v>817</v>
      </c>
      <c r="K174" s="2" t="s">
        <v>818</v>
      </c>
    </row>
    <row r="175" customFormat="false" ht="15" hidden="false" customHeight="false" outlineLevel="0" collapsed="false">
      <c r="A175" s="2" t="n">
        <v>174</v>
      </c>
      <c r="B175" s="2" t="s">
        <v>819</v>
      </c>
      <c r="C175" s="2" t="s">
        <v>820</v>
      </c>
      <c r="D175" s="2" t="s">
        <v>13</v>
      </c>
      <c r="E175" s="2" t="s">
        <v>14</v>
      </c>
      <c r="F175" s="2" t="n">
        <v>1</v>
      </c>
      <c r="G175" s="2"/>
      <c r="H175" s="3" t="s">
        <v>15</v>
      </c>
      <c r="I175" s="2" t="s">
        <v>821</v>
      </c>
      <c r="J175" s="2" t="s">
        <v>822</v>
      </c>
      <c r="K175" s="2" t="s">
        <v>823</v>
      </c>
    </row>
    <row r="176" customFormat="false" ht="15" hidden="false" customHeight="false" outlineLevel="0" collapsed="false">
      <c r="A176" s="2" t="n">
        <v>175</v>
      </c>
      <c r="B176" s="2" t="s">
        <v>824</v>
      </c>
      <c r="C176" s="2" t="s">
        <v>825</v>
      </c>
      <c r="D176" s="2" t="s">
        <v>13</v>
      </c>
      <c r="E176" s="2" t="s">
        <v>14</v>
      </c>
      <c r="F176" s="2" t="n">
        <v>1</v>
      </c>
      <c r="G176" s="2"/>
      <c r="H176" s="3" t="s">
        <v>15</v>
      </c>
      <c r="I176" s="2" t="s">
        <v>343</v>
      </c>
      <c r="J176" s="2" t="s">
        <v>826</v>
      </c>
      <c r="K176" s="2"/>
    </row>
    <row r="177" customFormat="false" ht="15" hidden="false" customHeight="false" outlineLevel="0" collapsed="false">
      <c r="A177" s="2" t="n">
        <v>176</v>
      </c>
      <c r="B177" s="2" t="s">
        <v>827</v>
      </c>
      <c r="C177" s="2" t="s">
        <v>214</v>
      </c>
      <c r="D177" s="2" t="s">
        <v>13</v>
      </c>
      <c r="E177" s="2" t="s">
        <v>14</v>
      </c>
      <c r="F177" s="2" t="n">
        <v>1</v>
      </c>
      <c r="G177" s="2"/>
      <c r="H177" s="4" t="s">
        <v>21</v>
      </c>
      <c r="I177" s="2" t="s">
        <v>828</v>
      </c>
      <c r="J177" s="2" t="s">
        <v>829</v>
      </c>
      <c r="K177" s="2" t="s">
        <v>830</v>
      </c>
    </row>
    <row r="178" customFormat="false" ht="15" hidden="false" customHeight="false" outlineLevel="0" collapsed="false">
      <c r="A178" s="2" t="n">
        <v>177</v>
      </c>
      <c r="B178" s="2" t="s">
        <v>831</v>
      </c>
      <c r="C178" s="2" t="s">
        <v>832</v>
      </c>
      <c r="D178" s="2" t="s">
        <v>61</v>
      </c>
      <c r="E178" s="2" t="s">
        <v>43</v>
      </c>
      <c r="F178" s="2" t="n">
        <v>1</v>
      </c>
      <c r="G178" s="2" t="s">
        <v>833</v>
      </c>
      <c r="H178" s="3" t="s">
        <v>15</v>
      </c>
      <c r="I178" s="2" t="s">
        <v>721</v>
      </c>
      <c r="J178" s="2" t="s">
        <v>834</v>
      </c>
      <c r="K178" s="2"/>
    </row>
    <row r="179" customFormat="false" ht="15" hidden="false" customHeight="false" outlineLevel="0" collapsed="false">
      <c r="A179" s="2" t="n">
        <v>178</v>
      </c>
      <c r="B179" s="2" t="s">
        <v>835</v>
      </c>
      <c r="C179" s="2" t="s">
        <v>836</v>
      </c>
      <c r="D179" s="2" t="s">
        <v>61</v>
      </c>
      <c r="E179" s="2" t="s">
        <v>43</v>
      </c>
      <c r="F179" s="2" t="n">
        <v>1</v>
      </c>
      <c r="G179" s="2" t="s">
        <v>837</v>
      </c>
      <c r="H179" s="4" t="s">
        <v>21</v>
      </c>
      <c r="I179" s="2" t="s">
        <v>838</v>
      </c>
      <c r="J179" s="2" t="s">
        <v>839</v>
      </c>
      <c r="K179" s="2" t="s">
        <v>840</v>
      </c>
    </row>
    <row r="180" customFormat="false" ht="15" hidden="false" customHeight="false" outlineLevel="0" collapsed="false">
      <c r="A180" s="2" t="n">
        <v>179</v>
      </c>
      <c r="B180" s="2" t="s">
        <v>835</v>
      </c>
      <c r="C180" s="2" t="s">
        <v>841</v>
      </c>
      <c r="D180" s="2" t="s">
        <v>13</v>
      </c>
      <c r="E180" s="2" t="s">
        <v>14</v>
      </c>
      <c r="F180" s="2" t="n">
        <v>1</v>
      </c>
      <c r="G180" s="2"/>
      <c r="H180" s="3" t="s">
        <v>15</v>
      </c>
      <c r="I180" s="2" t="s">
        <v>343</v>
      </c>
      <c r="J180" s="2" t="s">
        <v>842</v>
      </c>
      <c r="K180" s="2"/>
    </row>
    <row r="181" customFormat="false" ht="15" hidden="false" customHeight="false" outlineLevel="0" collapsed="false">
      <c r="A181" s="2" t="n">
        <v>180</v>
      </c>
      <c r="B181" s="2" t="s">
        <v>835</v>
      </c>
      <c r="C181" s="2" t="s">
        <v>843</v>
      </c>
      <c r="D181" s="2" t="s">
        <v>42</v>
      </c>
      <c r="E181" s="2" t="s">
        <v>43</v>
      </c>
      <c r="F181" s="2" t="n">
        <v>1</v>
      </c>
      <c r="G181" s="2" t="s">
        <v>844</v>
      </c>
      <c r="H181" s="5" t="s">
        <v>45</v>
      </c>
      <c r="I181" s="2" t="s">
        <v>845</v>
      </c>
      <c r="J181" s="2" t="s">
        <v>47</v>
      </c>
      <c r="K181" s="2"/>
    </row>
    <row r="182" customFormat="false" ht="15" hidden="false" customHeight="false" outlineLevel="0" collapsed="false">
      <c r="A182" s="2" t="n">
        <v>181</v>
      </c>
      <c r="B182" s="2" t="s">
        <v>846</v>
      </c>
      <c r="C182" s="2" t="s">
        <v>847</v>
      </c>
      <c r="D182" s="2" t="s">
        <v>13</v>
      </c>
      <c r="E182" s="2" t="s">
        <v>14</v>
      </c>
      <c r="F182" s="2" t="n">
        <v>2</v>
      </c>
      <c r="G182" s="2"/>
      <c r="H182" s="4" t="s">
        <v>21</v>
      </c>
      <c r="I182" s="2" t="s">
        <v>848</v>
      </c>
      <c r="J182" s="2" t="s">
        <v>849</v>
      </c>
      <c r="K182" s="2" t="s">
        <v>850</v>
      </c>
    </row>
    <row r="183" customFormat="false" ht="15" hidden="false" customHeight="false" outlineLevel="0" collapsed="false">
      <c r="A183" s="2" t="n">
        <v>182</v>
      </c>
      <c r="B183" s="2" t="s">
        <v>851</v>
      </c>
      <c r="C183" s="2" t="s">
        <v>481</v>
      </c>
      <c r="D183" s="2" t="s">
        <v>42</v>
      </c>
      <c r="E183" s="2" t="s">
        <v>43</v>
      </c>
      <c r="F183" s="2" t="n">
        <v>1</v>
      </c>
      <c r="G183" s="2" t="s">
        <v>852</v>
      </c>
      <c r="H183" s="4" t="s">
        <v>21</v>
      </c>
      <c r="I183" s="2" t="s">
        <v>853</v>
      </c>
      <c r="J183" s="2" t="s">
        <v>854</v>
      </c>
      <c r="K183" s="2" t="s">
        <v>855</v>
      </c>
    </row>
    <row r="184" customFormat="false" ht="15" hidden="false" customHeight="false" outlineLevel="0" collapsed="false">
      <c r="A184" s="2" t="n">
        <v>183</v>
      </c>
      <c r="B184" s="2" t="s">
        <v>856</v>
      </c>
      <c r="C184" s="2" t="s">
        <v>857</v>
      </c>
      <c r="D184" s="2" t="s">
        <v>61</v>
      </c>
      <c r="E184" s="2" t="s">
        <v>43</v>
      </c>
      <c r="F184" s="2" t="n">
        <v>2</v>
      </c>
      <c r="G184" s="2" t="s">
        <v>858</v>
      </c>
      <c r="H184" s="4" t="s">
        <v>21</v>
      </c>
      <c r="I184" s="2" t="s">
        <v>828</v>
      </c>
      <c r="J184" s="2" t="s">
        <v>859</v>
      </c>
      <c r="K184" s="2" t="s">
        <v>860</v>
      </c>
    </row>
    <row r="185" customFormat="false" ht="15" hidden="false" customHeight="false" outlineLevel="0" collapsed="false">
      <c r="A185" s="2" t="n">
        <v>184</v>
      </c>
      <c r="B185" s="2" t="s">
        <v>861</v>
      </c>
      <c r="C185" s="2" t="s">
        <v>862</v>
      </c>
      <c r="D185" s="2" t="s">
        <v>61</v>
      </c>
      <c r="E185" s="2" t="s">
        <v>43</v>
      </c>
      <c r="F185" s="2" t="n">
        <v>1</v>
      </c>
      <c r="G185" s="2" t="s">
        <v>863</v>
      </c>
      <c r="H185" s="4" t="s">
        <v>21</v>
      </c>
      <c r="I185" s="2" t="s">
        <v>864</v>
      </c>
      <c r="J185" s="2" t="s">
        <v>865</v>
      </c>
      <c r="K185" s="2" t="s">
        <v>866</v>
      </c>
    </row>
    <row r="186" customFormat="false" ht="15" hidden="false" customHeight="false" outlineLevel="0" collapsed="false">
      <c r="A186" s="2" t="n">
        <v>185</v>
      </c>
      <c r="B186" s="2" t="s">
        <v>867</v>
      </c>
      <c r="C186" s="2" t="s">
        <v>868</v>
      </c>
      <c r="D186" s="2" t="s">
        <v>98</v>
      </c>
      <c r="E186" s="2" t="s">
        <v>14</v>
      </c>
      <c r="F186" s="2" t="n">
        <v>3</v>
      </c>
      <c r="G186" s="2"/>
      <c r="H186" s="4" t="s">
        <v>21</v>
      </c>
      <c r="I186" s="2" t="s">
        <v>869</v>
      </c>
      <c r="J186" s="2" t="s">
        <v>870</v>
      </c>
      <c r="K186" s="2" t="s">
        <v>871</v>
      </c>
    </row>
    <row r="187" customFormat="false" ht="15" hidden="false" customHeight="false" outlineLevel="0" collapsed="false">
      <c r="A187" s="2" t="n">
        <v>186</v>
      </c>
      <c r="B187" s="2" t="s">
        <v>872</v>
      </c>
      <c r="C187" s="2" t="s">
        <v>873</v>
      </c>
      <c r="D187" s="2" t="s">
        <v>61</v>
      </c>
      <c r="E187" s="2" t="s">
        <v>43</v>
      </c>
      <c r="F187" s="2" t="n">
        <v>1</v>
      </c>
      <c r="G187" s="2" t="s">
        <v>874</v>
      </c>
      <c r="H187" s="3" t="s">
        <v>15</v>
      </c>
      <c r="I187" s="2" t="s">
        <v>343</v>
      </c>
      <c r="J187" s="2" t="s">
        <v>875</v>
      </c>
      <c r="K187" s="2"/>
    </row>
    <row r="188" customFormat="false" ht="15" hidden="false" customHeight="false" outlineLevel="0" collapsed="false">
      <c r="A188" s="2" t="n">
        <v>187</v>
      </c>
      <c r="B188" s="2" t="s">
        <v>876</v>
      </c>
      <c r="C188" s="2" t="s">
        <v>809</v>
      </c>
      <c r="D188" s="2" t="s">
        <v>42</v>
      </c>
      <c r="E188" s="2" t="s">
        <v>43</v>
      </c>
      <c r="F188" s="2" t="n">
        <v>1</v>
      </c>
      <c r="G188" s="2" t="s">
        <v>877</v>
      </c>
      <c r="H188" s="4" t="s">
        <v>21</v>
      </c>
      <c r="I188" s="2" t="s">
        <v>260</v>
      </c>
      <c r="J188" s="2" t="s">
        <v>878</v>
      </c>
      <c r="K188" s="2" t="s">
        <v>879</v>
      </c>
    </row>
    <row r="189" customFormat="false" ht="15" hidden="false" customHeight="false" outlineLevel="0" collapsed="false">
      <c r="A189" s="2" t="n">
        <v>188</v>
      </c>
      <c r="B189" s="2" t="s">
        <v>880</v>
      </c>
      <c r="C189" s="2" t="s">
        <v>881</v>
      </c>
      <c r="D189" s="2" t="s">
        <v>98</v>
      </c>
      <c r="E189" s="2" t="s">
        <v>14</v>
      </c>
      <c r="F189" s="2" t="n">
        <v>3</v>
      </c>
      <c r="G189" s="2"/>
      <c r="H189" s="3" t="s">
        <v>15</v>
      </c>
      <c r="I189" s="2" t="s">
        <v>882</v>
      </c>
      <c r="J189" s="2" t="s">
        <v>883</v>
      </c>
      <c r="K189" s="2" t="s">
        <v>884</v>
      </c>
    </row>
    <row r="190" customFormat="false" ht="15" hidden="false" customHeight="false" outlineLevel="0" collapsed="false">
      <c r="A190" s="2" t="n">
        <v>189</v>
      </c>
      <c r="B190" s="2" t="s">
        <v>885</v>
      </c>
      <c r="C190" s="2" t="s">
        <v>886</v>
      </c>
      <c r="D190" s="2" t="s">
        <v>13</v>
      </c>
      <c r="E190" s="2" t="s">
        <v>14</v>
      </c>
      <c r="F190" s="2" t="n">
        <v>1</v>
      </c>
      <c r="G190" s="2"/>
      <c r="H190" s="4" t="s">
        <v>21</v>
      </c>
      <c r="I190" s="2" t="s">
        <v>184</v>
      </c>
      <c r="J190" s="2" t="s">
        <v>887</v>
      </c>
      <c r="K190" s="2" t="s">
        <v>888</v>
      </c>
    </row>
    <row r="191" customFormat="false" ht="15" hidden="false" customHeight="false" outlineLevel="0" collapsed="false">
      <c r="A191" s="2" t="n">
        <v>190</v>
      </c>
      <c r="B191" s="2" t="s">
        <v>889</v>
      </c>
      <c r="C191" s="2" t="s">
        <v>890</v>
      </c>
      <c r="D191" s="2" t="s">
        <v>61</v>
      </c>
      <c r="E191" s="2" t="s">
        <v>43</v>
      </c>
      <c r="F191" s="2" t="n">
        <v>3</v>
      </c>
      <c r="G191" s="2" t="s">
        <v>891</v>
      </c>
      <c r="H191" s="4" t="s">
        <v>21</v>
      </c>
      <c r="I191" s="2" t="s">
        <v>892</v>
      </c>
      <c r="J191" s="2" t="s">
        <v>893</v>
      </c>
      <c r="K191" s="2" t="s">
        <v>894</v>
      </c>
    </row>
    <row r="192" customFormat="false" ht="15" hidden="false" customHeight="false" outlineLevel="0" collapsed="false">
      <c r="A192" s="2" t="n">
        <v>191</v>
      </c>
      <c r="B192" s="2" t="s">
        <v>895</v>
      </c>
      <c r="C192" s="2" t="s">
        <v>896</v>
      </c>
      <c r="D192" s="2" t="s">
        <v>61</v>
      </c>
      <c r="E192" s="2" t="s">
        <v>43</v>
      </c>
      <c r="F192" s="2" t="n">
        <v>1</v>
      </c>
      <c r="G192" s="2" t="s">
        <v>897</v>
      </c>
      <c r="H192" s="4" t="s">
        <v>21</v>
      </c>
      <c r="I192" s="2" t="s">
        <v>898</v>
      </c>
      <c r="J192" s="2" t="s">
        <v>899</v>
      </c>
      <c r="K192" s="2" t="s">
        <v>900</v>
      </c>
    </row>
    <row r="193" customFormat="false" ht="15" hidden="false" customHeight="false" outlineLevel="0" collapsed="false">
      <c r="A193" s="2" t="n">
        <v>192</v>
      </c>
      <c r="B193" s="2" t="s">
        <v>895</v>
      </c>
      <c r="C193" s="2" t="s">
        <v>901</v>
      </c>
      <c r="D193" s="2" t="s">
        <v>13</v>
      </c>
      <c r="E193" s="2" t="s">
        <v>14</v>
      </c>
      <c r="F193" s="2" t="n">
        <v>1</v>
      </c>
      <c r="G193" s="2"/>
      <c r="H193" s="3" t="s">
        <v>15</v>
      </c>
      <c r="I193" s="2" t="s">
        <v>902</v>
      </c>
      <c r="J193" s="2" t="s">
        <v>903</v>
      </c>
      <c r="K193" s="2" t="s">
        <v>904</v>
      </c>
    </row>
    <row r="194" customFormat="false" ht="15" hidden="false" customHeight="false" outlineLevel="0" collapsed="false">
      <c r="A194" s="2" t="n">
        <v>193</v>
      </c>
      <c r="B194" s="2" t="s">
        <v>905</v>
      </c>
      <c r="C194" s="2" t="s">
        <v>906</v>
      </c>
      <c r="D194" s="2" t="s">
        <v>98</v>
      </c>
      <c r="E194" s="2" t="s">
        <v>14</v>
      </c>
      <c r="F194" s="2" t="n">
        <v>2</v>
      </c>
      <c r="G194" s="2"/>
      <c r="H194" s="3" t="s">
        <v>15</v>
      </c>
      <c r="I194" s="2" t="s">
        <v>907</v>
      </c>
      <c r="J194" s="2" t="s">
        <v>908</v>
      </c>
      <c r="K194" s="2" t="s">
        <v>909</v>
      </c>
    </row>
    <row r="195" customFormat="false" ht="15" hidden="false" customHeight="false" outlineLevel="0" collapsed="false">
      <c r="A195" s="2" t="n">
        <v>194</v>
      </c>
      <c r="B195" s="2" t="s">
        <v>910</v>
      </c>
      <c r="C195" s="2" t="s">
        <v>31</v>
      </c>
      <c r="D195" s="2" t="s">
        <v>20</v>
      </c>
      <c r="E195" s="2" t="s">
        <v>14</v>
      </c>
      <c r="F195" s="2" t="n">
        <v>1</v>
      </c>
      <c r="G195" s="2"/>
      <c r="H195" s="4" t="s">
        <v>21</v>
      </c>
      <c r="I195" s="2" t="s">
        <v>911</v>
      </c>
      <c r="J195" s="2" t="s">
        <v>912</v>
      </c>
      <c r="K195" s="2" t="s">
        <v>913</v>
      </c>
    </row>
    <row r="196" customFormat="false" ht="15" hidden="false" customHeight="false" outlineLevel="0" collapsed="false">
      <c r="A196" s="2" t="n">
        <v>195</v>
      </c>
      <c r="B196" s="2" t="s">
        <v>914</v>
      </c>
      <c r="C196" s="2" t="s">
        <v>915</v>
      </c>
      <c r="D196" s="2" t="s">
        <v>20</v>
      </c>
      <c r="E196" s="2" t="s">
        <v>14</v>
      </c>
      <c r="F196" s="2" t="n">
        <v>1</v>
      </c>
      <c r="G196" s="2"/>
      <c r="H196" s="5" t="s">
        <v>45</v>
      </c>
      <c r="I196" s="2" t="s">
        <v>916</v>
      </c>
      <c r="J196" s="2" t="s">
        <v>917</v>
      </c>
      <c r="K196" s="2" t="s">
        <v>918</v>
      </c>
    </row>
    <row r="197" customFormat="false" ht="15" hidden="false" customHeight="false" outlineLevel="0" collapsed="false">
      <c r="A197" s="2" t="n">
        <v>196</v>
      </c>
      <c r="B197" s="2" t="s">
        <v>919</v>
      </c>
      <c r="C197" s="2" t="s">
        <v>920</v>
      </c>
      <c r="D197" s="2" t="s">
        <v>13</v>
      </c>
      <c r="E197" s="2" t="s">
        <v>14</v>
      </c>
      <c r="F197" s="2" t="n">
        <v>1</v>
      </c>
      <c r="G197" s="2"/>
      <c r="H197" s="4" t="s">
        <v>21</v>
      </c>
      <c r="I197" s="2" t="s">
        <v>921</v>
      </c>
      <c r="J197" s="2" t="s">
        <v>922</v>
      </c>
      <c r="K197" s="2" t="s">
        <v>923</v>
      </c>
    </row>
    <row r="198" customFormat="false" ht="15" hidden="false" customHeight="false" outlineLevel="0" collapsed="false">
      <c r="A198" s="2" t="n">
        <v>197</v>
      </c>
      <c r="B198" s="2" t="s">
        <v>924</v>
      </c>
      <c r="C198" s="2" t="s">
        <v>925</v>
      </c>
      <c r="D198" s="2" t="s">
        <v>61</v>
      </c>
      <c r="E198" s="2" t="s">
        <v>43</v>
      </c>
      <c r="F198" s="2" t="n">
        <v>1</v>
      </c>
      <c r="G198" s="2" t="s">
        <v>926</v>
      </c>
      <c r="H198" s="4" t="s">
        <v>21</v>
      </c>
      <c r="I198" s="2" t="s">
        <v>927</v>
      </c>
      <c r="J198" s="2" t="s">
        <v>928</v>
      </c>
      <c r="K198" s="2" t="s">
        <v>929</v>
      </c>
    </row>
    <row r="199" customFormat="false" ht="15" hidden="false" customHeight="false" outlineLevel="0" collapsed="false">
      <c r="A199" s="2" t="n">
        <v>198</v>
      </c>
      <c r="B199" s="2" t="s">
        <v>930</v>
      </c>
      <c r="C199" s="2" t="s">
        <v>931</v>
      </c>
      <c r="D199" s="2" t="s">
        <v>13</v>
      </c>
      <c r="E199" s="2" t="s">
        <v>14</v>
      </c>
      <c r="F199" s="2" t="n">
        <v>1</v>
      </c>
      <c r="G199" s="2"/>
      <c r="H199" s="4" t="s">
        <v>21</v>
      </c>
      <c r="I199" s="2" t="s">
        <v>932</v>
      </c>
      <c r="J199" s="2" t="s">
        <v>933</v>
      </c>
      <c r="K199" s="2" t="s">
        <v>934</v>
      </c>
    </row>
    <row r="200" customFormat="false" ht="15" hidden="false" customHeight="false" outlineLevel="0" collapsed="false">
      <c r="A200" s="2" t="n">
        <v>199</v>
      </c>
      <c r="B200" s="2" t="s">
        <v>935</v>
      </c>
      <c r="C200" s="2" t="s">
        <v>936</v>
      </c>
      <c r="D200" s="2" t="s">
        <v>20</v>
      </c>
      <c r="E200" s="2" t="s">
        <v>14</v>
      </c>
      <c r="F200" s="2" t="n">
        <v>3</v>
      </c>
      <c r="G200" s="2"/>
      <c r="H200" s="5" t="s">
        <v>45</v>
      </c>
      <c r="I200" s="2" t="s">
        <v>937</v>
      </c>
      <c r="J200" s="2" t="s">
        <v>938</v>
      </c>
      <c r="K200" s="2" t="s">
        <v>939</v>
      </c>
    </row>
    <row r="201" customFormat="false" ht="15" hidden="false" customHeight="false" outlineLevel="0" collapsed="false">
      <c r="A201" s="2" t="n">
        <v>200</v>
      </c>
      <c r="B201" s="2" t="s">
        <v>940</v>
      </c>
      <c r="C201" s="2" t="s">
        <v>481</v>
      </c>
      <c r="D201" s="2" t="s">
        <v>61</v>
      </c>
      <c r="E201" s="2" t="s">
        <v>43</v>
      </c>
      <c r="F201" s="2" t="n">
        <v>1</v>
      </c>
      <c r="G201" s="2" t="s">
        <v>941</v>
      </c>
      <c r="H201" s="4" t="s">
        <v>21</v>
      </c>
      <c r="I201" s="2" t="s">
        <v>942</v>
      </c>
      <c r="J201" s="2" t="s">
        <v>943</v>
      </c>
      <c r="K201" s="2" t="s">
        <v>944</v>
      </c>
    </row>
    <row r="202" customFormat="false" ht="15" hidden="false" customHeight="false" outlineLevel="0" collapsed="false">
      <c r="A202" s="2" t="n">
        <v>201</v>
      </c>
      <c r="B202" s="2" t="s">
        <v>945</v>
      </c>
      <c r="C202" s="2" t="s">
        <v>946</v>
      </c>
      <c r="D202" s="2" t="s">
        <v>13</v>
      </c>
      <c r="E202" s="2" t="s">
        <v>14</v>
      </c>
      <c r="F202" s="2" t="n">
        <v>1</v>
      </c>
      <c r="G202" s="2"/>
      <c r="H202" s="4" t="s">
        <v>21</v>
      </c>
      <c r="I202" s="2" t="s">
        <v>947</v>
      </c>
      <c r="J202" s="2" t="s">
        <v>948</v>
      </c>
      <c r="K202" s="2" t="s">
        <v>949</v>
      </c>
    </row>
    <row r="203" customFormat="false" ht="15" hidden="false" customHeight="false" outlineLevel="0" collapsed="false">
      <c r="A203" s="2" t="n">
        <v>202</v>
      </c>
      <c r="B203" s="2" t="s">
        <v>950</v>
      </c>
      <c r="C203" s="2" t="s">
        <v>313</v>
      </c>
      <c r="D203" s="2" t="s">
        <v>951</v>
      </c>
      <c r="E203" s="2" t="s">
        <v>182</v>
      </c>
      <c r="F203" s="2" t="n">
        <v>3</v>
      </c>
      <c r="G203" s="2" t="s">
        <v>952</v>
      </c>
      <c r="H203" s="4" t="s">
        <v>21</v>
      </c>
      <c r="I203" s="2" t="s">
        <v>953</v>
      </c>
      <c r="J203" s="2" t="s">
        <v>954</v>
      </c>
      <c r="K203" s="2" t="s">
        <v>955</v>
      </c>
    </row>
    <row r="204" customFormat="false" ht="15" hidden="false" customHeight="false" outlineLevel="0" collapsed="false">
      <c r="A204" s="2" t="n">
        <v>203</v>
      </c>
      <c r="B204" s="2" t="s">
        <v>956</v>
      </c>
      <c r="C204" s="2" t="s">
        <v>957</v>
      </c>
      <c r="D204" s="2" t="s">
        <v>61</v>
      </c>
      <c r="E204" s="2" t="s">
        <v>43</v>
      </c>
      <c r="F204" s="2" t="n">
        <v>1</v>
      </c>
      <c r="G204" s="2" t="s">
        <v>958</v>
      </c>
      <c r="H204" s="4" t="s">
        <v>21</v>
      </c>
      <c r="I204" s="2" t="s">
        <v>959</v>
      </c>
      <c r="J204" s="2" t="s">
        <v>960</v>
      </c>
      <c r="K204" s="2" t="s">
        <v>961</v>
      </c>
    </row>
    <row r="205" customFormat="false" ht="15" hidden="false" customHeight="false" outlineLevel="0" collapsed="false">
      <c r="A205" s="2" t="n">
        <v>204</v>
      </c>
      <c r="B205" s="2" t="s">
        <v>962</v>
      </c>
      <c r="C205" s="2" t="s">
        <v>963</v>
      </c>
      <c r="D205" s="2" t="s">
        <v>20</v>
      </c>
      <c r="E205" s="2" t="s">
        <v>14</v>
      </c>
      <c r="F205" s="2" t="n">
        <v>1</v>
      </c>
      <c r="G205" s="2"/>
      <c r="H205" s="5" t="s">
        <v>45</v>
      </c>
      <c r="I205" s="2" t="s">
        <v>964</v>
      </c>
      <c r="J205" s="2" t="s">
        <v>965</v>
      </c>
      <c r="K205" s="2" t="s">
        <v>966</v>
      </c>
    </row>
    <row r="206" customFormat="false" ht="15" hidden="false" customHeight="false" outlineLevel="0" collapsed="false">
      <c r="A206" s="2" t="n">
        <v>205</v>
      </c>
      <c r="B206" s="2" t="s">
        <v>967</v>
      </c>
      <c r="C206" s="2" t="s">
        <v>968</v>
      </c>
      <c r="D206" s="2" t="s">
        <v>13</v>
      </c>
      <c r="E206" s="2" t="s">
        <v>14</v>
      </c>
      <c r="F206" s="2" t="n">
        <v>1</v>
      </c>
      <c r="G206" s="2"/>
      <c r="H206" s="3" t="s">
        <v>15</v>
      </c>
      <c r="I206" s="2" t="s">
        <v>343</v>
      </c>
      <c r="J206" s="2" t="s">
        <v>969</v>
      </c>
      <c r="K206" s="2"/>
    </row>
    <row r="207" customFormat="false" ht="15" hidden="false" customHeight="false" outlineLevel="0" collapsed="false">
      <c r="A207" s="2" t="n">
        <v>206</v>
      </c>
      <c r="B207" s="2" t="s">
        <v>970</v>
      </c>
      <c r="C207" s="2" t="s">
        <v>690</v>
      </c>
      <c r="D207" s="2" t="s">
        <v>20</v>
      </c>
      <c r="E207" s="2" t="s">
        <v>14</v>
      </c>
      <c r="F207" s="2" t="n">
        <v>1</v>
      </c>
      <c r="G207" s="2"/>
      <c r="H207" s="4" t="s">
        <v>21</v>
      </c>
      <c r="I207" s="2" t="s">
        <v>176</v>
      </c>
      <c r="J207" s="2" t="s">
        <v>971</v>
      </c>
      <c r="K207" s="2" t="s">
        <v>972</v>
      </c>
    </row>
    <row r="208" customFormat="false" ht="15" hidden="false" customHeight="false" outlineLevel="0" collapsed="false">
      <c r="A208" s="2" t="n">
        <v>207</v>
      </c>
      <c r="B208" s="2" t="s">
        <v>973</v>
      </c>
      <c r="C208" s="2" t="s">
        <v>974</v>
      </c>
      <c r="D208" s="2" t="s">
        <v>13</v>
      </c>
      <c r="E208" s="2" t="s">
        <v>14</v>
      </c>
      <c r="F208" s="2" t="n">
        <v>1</v>
      </c>
      <c r="G208" s="2"/>
      <c r="H208" s="4" t="s">
        <v>21</v>
      </c>
      <c r="I208" s="2" t="s">
        <v>898</v>
      </c>
      <c r="J208" s="2" t="s">
        <v>975</v>
      </c>
      <c r="K208" s="2" t="s">
        <v>976</v>
      </c>
    </row>
    <row r="209" customFormat="false" ht="15" hidden="false" customHeight="false" outlineLevel="0" collapsed="false">
      <c r="A209" s="2" t="n">
        <v>208</v>
      </c>
      <c r="B209" s="2" t="s">
        <v>973</v>
      </c>
      <c r="C209" s="2" t="s">
        <v>407</v>
      </c>
      <c r="D209" s="2" t="s">
        <v>181</v>
      </c>
      <c r="E209" s="2" t="s">
        <v>182</v>
      </c>
      <c r="F209" s="2" t="n">
        <v>3</v>
      </c>
      <c r="G209" s="2" t="s">
        <v>977</v>
      </c>
      <c r="H209" s="4" t="s">
        <v>21</v>
      </c>
      <c r="I209" s="2" t="s">
        <v>898</v>
      </c>
      <c r="J209" s="2" t="s">
        <v>978</v>
      </c>
      <c r="K209" s="2" t="s">
        <v>979</v>
      </c>
    </row>
    <row r="210" customFormat="false" ht="15" hidden="false" customHeight="false" outlineLevel="0" collapsed="false">
      <c r="A210" s="2" t="n">
        <v>209</v>
      </c>
      <c r="B210" s="2" t="s">
        <v>980</v>
      </c>
      <c r="C210" s="2" t="s">
        <v>981</v>
      </c>
      <c r="D210" s="2" t="s">
        <v>13</v>
      </c>
      <c r="E210" s="2" t="s">
        <v>14</v>
      </c>
      <c r="F210" s="2" t="n">
        <v>1</v>
      </c>
      <c r="G210" s="2"/>
      <c r="H210" s="3" t="s">
        <v>15</v>
      </c>
      <c r="I210" s="2" t="s">
        <v>982</v>
      </c>
      <c r="J210" s="2" t="s">
        <v>983</v>
      </c>
      <c r="K210" s="2" t="s">
        <v>984</v>
      </c>
    </row>
    <row r="211" customFormat="false" ht="15" hidden="false" customHeight="false" outlineLevel="0" collapsed="false">
      <c r="A211" s="2" t="n">
        <v>210</v>
      </c>
      <c r="B211" s="2" t="s">
        <v>985</v>
      </c>
      <c r="C211" s="2" t="s">
        <v>175</v>
      </c>
      <c r="D211" s="2" t="s">
        <v>61</v>
      </c>
      <c r="E211" s="2" t="s">
        <v>43</v>
      </c>
      <c r="F211" s="2" t="n">
        <v>2</v>
      </c>
      <c r="G211" s="2" t="s">
        <v>986</v>
      </c>
      <c r="H211" s="4" t="s">
        <v>21</v>
      </c>
      <c r="I211" s="2" t="s">
        <v>649</v>
      </c>
      <c r="J211" s="2" t="s">
        <v>987</v>
      </c>
      <c r="K211" s="2" t="s">
        <v>988</v>
      </c>
    </row>
    <row r="212" customFormat="false" ht="15" hidden="false" customHeight="false" outlineLevel="0" collapsed="false">
      <c r="A212" s="2" t="n">
        <v>211</v>
      </c>
      <c r="B212" s="2" t="s">
        <v>989</v>
      </c>
      <c r="C212" s="2" t="s">
        <v>990</v>
      </c>
      <c r="D212" s="2" t="s">
        <v>13</v>
      </c>
      <c r="E212" s="2" t="s">
        <v>14</v>
      </c>
      <c r="F212" s="2" t="n">
        <v>4</v>
      </c>
      <c r="G212" s="2"/>
      <c r="H212" s="4" t="s">
        <v>21</v>
      </c>
      <c r="I212" s="2" t="s">
        <v>991</v>
      </c>
      <c r="J212" s="2" t="s">
        <v>992</v>
      </c>
      <c r="K212" s="2" t="s">
        <v>993</v>
      </c>
    </row>
    <row r="213" customFormat="false" ht="15" hidden="false" customHeight="false" outlineLevel="0" collapsed="false">
      <c r="A213" s="2" t="n">
        <v>212</v>
      </c>
      <c r="B213" s="2" t="s">
        <v>994</v>
      </c>
      <c r="C213" s="2" t="s">
        <v>995</v>
      </c>
      <c r="D213" s="2" t="s">
        <v>20</v>
      </c>
      <c r="E213" s="2" t="s">
        <v>14</v>
      </c>
      <c r="F213" s="2" t="n">
        <v>1</v>
      </c>
      <c r="G213" s="2"/>
      <c r="H213" s="5" t="s">
        <v>45</v>
      </c>
      <c r="I213" s="2" t="s">
        <v>996</v>
      </c>
      <c r="J213" s="2" t="s">
        <v>997</v>
      </c>
      <c r="K213" s="2" t="s">
        <v>998</v>
      </c>
    </row>
    <row r="214" customFormat="false" ht="15" hidden="false" customHeight="false" outlineLevel="0" collapsed="false">
      <c r="A214" s="2" t="n">
        <v>213</v>
      </c>
      <c r="B214" s="2" t="s">
        <v>999</v>
      </c>
      <c r="C214" s="2" t="s">
        <v>319</v>
      </c>
      <c r="D214" s="2" t="s">
        <v>20</v>
      </c>
      <c r="E214" s="2" t="s">
        <v>14</v>
      </c>
      <c r="F214" s="2" t="n">
        <v>1</v>
      </c>
      <c r="G214" s="2"/>
      <c r="H214" s="3" t="s">
        <v>15</v>
      </c>
      <c r="I214" s="2" t="s">
        <v>343</v>
      </c>
      <c r="J214" s="2" t="s">
        <v>1000</v>
      </c>
      <c r="K214" s="2"/>
    </row>
    <row r="215" customFormat="false" ht="15" hidden="false" customHeight="false" outlineLevel="0" collapsed="false">
      <c r="A215" s="2" t="n">
        <v>214</v>
      </c>
      <c r="B215" s="2" t="s">
        <v>1001</v>
      </c>
      <c r="C215" s="2" t="s">
        <v>1002</v>
      </c>
      <c r="D215" s="2" t="s">
        <v>13</v>
      </c>
      <c r="E215" s="2" t="s">
        <v>14</v>
      </c>
      <c r="F215" s="2" t="n">
        <v>1</v>
      </c>
      <c r="G215" s="2"/>
      <c r="H215" s="4" t="s">
        <v>21</v>
      </c>
      <c r="I215" s="2" t="s">
        <v>1003</v>
      </c>
      <c r="J215" s="2" t="s">
        <v>1004</v>
      </c>
      <c r="K215" s="2" t="s">
        <v>1005</v>
      </c>
    </row>
    <row r="216" customFormat="false" ht="15" hidden="false" customHeight="false" outlineLevel="0" collapsed="false">
      <c r="A216" s="2" t="n">
        <v>215</v>
      </c>
      <c r="B216" s="2" t="s">
        <v>1006</v>
      </c>
      <c r="C216" s="2" t="s">
        <v>1007</v>
      </c>
      <c r="D216" s="2" t="s">
        <v>42</v>
      </c>
      <c r="E216" s="2" t="s">
        <v>43</v>
      </c>
      <c r="F216" s="2" t="n">
        <v>1</v>
      </c>
      <c r="G216" s="2" t="s">
        <v>1008</v>
      </c>
      <c r="H216" s="5" t="s">
        <v>45</v>
      </c>
      <c r="I216" s="2" t="s">
        <v>111</v>
      </c>
      <c r="J216" s="2" t="s">
        <v>47</v>
      </c>
      <c r="K216" s="2"/>
    </row>
    <row r="217" customFormat="false" ht="15" hidden="false" customHeight="false" outlineLevel="0" collapsed="false">
      <c r="A217" s="2" t="n">
        <v>216</v>
      </c>
      <c r="B217" s="2" t="s">
        <v>1009</v>
      </c>
      <c r="C217" s="2" t="s">
        <v>1010</v>
      </c>
      <c r="D217" s="2" t="s">
        <v>20</v>
      </c>
      <c r="E217" s="2" t="s">
        <v>14</v>
      </c>
      <c r="F217" s="2" t="n">
        <v>1</v>
      </c>
      <c r="G217" s="2"/>
      <c r="H217" s="3" t="s">
        <v>15</v>
      </c>
      <c r="I217" s="2" t="s">
        <v>1011</v>
      </c>
      <c r="J217" s="2" t="s">
        <v>1012</v>
      </c>
      <c r="K217" s="2" t="s">
        <v>1013</v>
      </c>
    </row>
    <row r="218" customFormat="false" ht="15" hidden="false" customHeight="false" outlineLevel="0" collapsed="false">
      <c r="A218" s="2" t="n">
        <v>217</v>
      </c>
      <c r="B218" s="2" t="s">
        <v>1014</v>
      </c>
      <c r="C218" s="2" t="s">
        <v>1015</v>
      </c>
      <c r="D218" s="2" t="s">
        <v>20</v>
      </c>
      <c r="E218" s="2" t="s">
        <v>14</v>
      </c>
      <c r="F218" s="2" t="n">
        <v>1</v>
      </c>
      <c r="G218" s="2"/>
      <c r="H218" s="5" t="s">
        <v>45</v>
      </c>
      <c r="I218" s="2" t="s">
        <v>1016</v>
      </c>
      <c r="J218" s="2" t="s">
        <v>1017</v>
      </c>
      <c r="K218" s="2" t="s">
        <v>1018</v>
      </c>
    </row>
    <row r="219" customFormat="false" ht="15" hidden="false" customHeight="false" outlineLevel="0" collapsed="false">
      <c r="A219" s="2" t="n">
        <v>218</v>
      </c>
      <c r="B219" s="2" t="s">
        <v>1019</v>
      </c>
      <c r="C219" s="2" t="s">
        <v>1020</v>
      </c>
      <c r="D219" s="2" t="s">
        <v>314</v>
      </c>
      <c r="E219" s="2" t="s">
        <v>182</v>
      </c>
      <c r="F219" s="2" t="n">
        <v>2</v>
      </c>
      <c r="G219" s="2" t="s">
        <v>1021</v>
      </c>
      <c r="H219" s="3" t="s">
        <v>15</v>
      </c>
      <c r="I219" s="2" t="s">
        <v>1022</v>
      </c>
      <c r="J219" s="2" t="s">
        <v>1023</v>
      </c>
      <c r="K219" s="2" t="s">
        <v>1024</v>
      </c>
    </row>
    <row r="220" customFormat="false" ht="15" hidden="false" customHeight="false" outlineLevel="0" collapsed="false">
      <c r="A220" s="2" t="n">
        <v>219</v>
      </c>
      <c r="B220" s="2" t="s">
        <v>1025</v>
      </c>
      <c r="C220" s="2" t="s">
        <v>1026</v>
      </c>
      <c r="D220" s="2" t="s">
        <v>42</v>
      </c>
      <c r="E220" s="2" t="s">
        <v>43</v>
      </c>
      <c r="F220" s="2" t="n">
        <v>1</v>
      </c>
      <c r="G220" s="2" t="s">
        <v>1027</v>
      </c>
      <c r="H220" s="4" t="s">
        <v>21</v>
      </c>
      <c r="I220" s="2" t="s">
        <v>1028</v>
      </c>
      <c r="J220" s="2" t="s">
        <v>1029</v>
      </c>
      <c r="K220" s="2" t="s">
        <v>1030</v>
      </c>
    </row>
    <row r="221" customFormat="false" ht="15" hidden="false" customHeight="false" outlineLevel="0" collapsed="false">
      <c r="A221" s="2" t="n">
        <v>220</v>
      </c>
      <c r="B221" s="2" t="s">
        <v>1025</v>
      </c>
      <c r="C221" s="2" t="s">
        <v>1031</v>
      </c>
      <c r="D221" s="2" t="s">
        <v>13</v>
      </c>
      <c r="E221" s="2" t="s">
        <v>14</v>
      </c>
      <c r="F221" s="2" t="n">
        <v>3</v>
      </c>
      <c r="G221" s="2"/>
      <c r="H221" s="4" t="s">
        <v>21</v>
      </c>
      <c r="I221" s="2" t="s">
        <v>1032</v>
      </c>
      <c r="J221" s="2" t="s">
        <v>1033</v>
      </c>
      <c r="K221" s="2" t="s">
        <v>1034</v>
      </c>
    </row>
    <row r="222" customFormat="false" ht="15" hidden="false" customHeight="false" outlineLevel="0" collapsed="false">
      <c r="A222" s="2" t="n">
        <v>221</v>
      </c>
      <c r="B222" s="2" t="s">
        <v>1025</v>
      </c>
      <c r="C222" s="2" t="s">
        <v>1035</v>
      </c>
      <c r="D222" s="2" t="s">
        <v>98</v>
      </c>
      <c r="E222" s="2" t="s">
        <v>14</v>
      </c>
      <c r="F222" s="2" t="n">
        <v>2</v>
      </c>
      <c r="G222" s="2"/>
      <c r="H222" s="4" t="s">
        <v>21</v>
      </c>
      <c r="I222" s="2" t="s">
        <v>1036</v>
      </c>
      <c r="J222" s="2" t="s">
        <v>1037</v>
      </c>
      <c r="K222" s="2" t="s">
        <v>1038</v>
      </c>
    </row>
    <row r="223" customFormat="false" ht="15" hidden="false" customHeight="false" outlineLevel="0" collapsed="false">
      <c r="A223" s="2" t="n">
        <v>222</v>
      </c>
      <c r="B223" s="2" t="s">
        <v>1039</v>
      </c>
      <c r="C223" s="2" t="s">
        <v>1040</v>
      </c>
      <c r="D223" s="2" t="s">
        <v>258</v>
      </c>
      <c r="E223" s="2" t="s">
        <v>43</v>
      </c>
      <c r="F223" s="2" t="n">
        <v>3</v>
      </c>
      <c r="G223" s="2" t="s">
        <v>1041</v>
      </c>
      <c r="H223" s="4" t="s">
        <v>21</v>
      </c>
      <c r="I223" s="2" t="s">
        <v>338</v>
      </c>
      <c r="J223" s="2" t="s">
        <v>1042</v>
      </c>
      <c r="K223" s="2" t="s">
        <v>1043</v>
      </c>
    </row>
    <row r="224" customFormat="false" ht="15" hidden="false" customHeight="false" outlineLevel="0" collapsed="false">
      <c r="A224" s="2" t="n">
        <v>223</v>
      </c>
      <c r="B224" s="2" t="s">
        <v>1044</v>
      </c>
      <c r="C224" s="2" t="s">
        <v>175</v>
      </c>
      <c r="D224" s="2" t="s">
        <v>42</v>
      </c>
      <c r="E224" s="2" t="s">
        <v>43</v>
      </c>
      <c r="F224" s="2" t="n">
        <v>1</v>
      </c>
      <c r="G224" s="2" t="s">
        <v>1045</v>
      </c>
      <c r="H224" s="3" t="s">
        <v>15</v>
      </c>
      <c r="I224" s="2" t="s">
        <v>56</v>
      </c>
      <c r="J224" s="2" t="s">
        <v>1046</v>
      </c>
      <c r="K224" s="2" t="s">
        <v>1047</v>
      </c>
    </row>
    <row r="225" customFormat="false" ht="15" hidden="false" customHeight="false" outlineLevel="0" collapsed="false">
      <c r="A225" s="2" t="n">
        <v>224</v>
      </c>
      <c r="B225" s="2" t="s">
        <v>1048</v>
      </c>
      <c r="C225" s="2" t="s">
        <v>1049</v>
      </c>
      <c r="D225" s="2" t="s">
        <v>61</v>
      </c>
      <c r="E225" s="2" t="s">
        <v>43</v>
      </c>
      <c r="F225" s="2" t="n">
        <v>3</v>
      </c>
      <c r="G225" s="2" t="s">
        <v>1050</v>
      </c>
      <c r="H225" s="4" t="s">
        <v>21</v>
      </c>
      <c r="I225" s="2" t="s">
        <v>576</v>
      </c>
      <c r="J225" s="2" t="s">
        <v>1051</v>
      </c>
      <c r="K225" s="2" t="s">
        <v>1052</v>
      </c>
    </row>
    <row r="226" customFormat="false" ht="15" hidden="false" customHeight="false" outlineLevel="0" collapsed="false">
      <c r="A226" s="2" t="n">
        <v>225</v>
      </c>
      <c r="B226" s="2" t="s">
        <v>1053</v>
      </c>
      <c r="C226" s="2" t="s">
        <v>1054</v>
      </c>
      <c r="D226" s="2" t="s">
        <v>20</v>
      </c>
      <c r="E226" s="2" t="s">
        <v>14</v>
      </c>
      <c r="F226" s="2" t="n">
        <v>1</v>
      </c>
      <c r="G226" s="2"/>
      <c r="H226" s="5" t="s">
        <v>45</v>
      </c>
      <c r="I226" s="2" t="s">
        <v>1055</v>
      </c>
      <c r="J226" s="2" t="s">
        <v>1056</v>
      </c>
      <c r="K226" s="2" t="s">
        <v>1057</v>
      </c>
    </row>
    <row r="227" customFormat="false" ht="15" hidden="false" customHeight="false" outlineLevel="0" collapsed="false">
      <c r="A227" s="2" t="n">
        <v>226</v>
      </c>
      <c r="B227" s="2" t="s">
        <v>1058</v>
      </c>
      <c r="C227" s="2" t="s">
        <v>1059</v>
      </c>
      <c r="D227" s="2" t="s">
        <v>61</v>
      </c>
      <c r="E227" s="2" t="s">
        <v>43</v>
      </c>
      <c r="F227" s="2" t="n">
        <v>2</v>
      </c>
      <c r="G227" s="2" t="s">
        <v>1060</v>
      </c>
      <c r="H227" s="4" t="s">
        <v>21</v>
      </c>
      <c r="I227" s="2" t="s">
        <v>1061</v>
      </c>
      <c r="J227" s="2" t="s">
        <v>1062</v>
      </c>
      <c r="K227" s="2" t="s">
        <v>1063</v>
      </c>
    </row>
    <row r="228" customFormat="false" ht="15" hidden="false" customHeight="false" outlineLevel="0" collapsed="false">
      <c r="A228" s="2" t="n">
        <v>227</v>
      </c>
      <c r="B228" s="2" t="s">
        <v>1058</v>
      </c>
      <c r="C228" s="2" t="s">
        <v>332</v>
      </c>
      <c r="D228" s="2" t="s">
        <v>20</v>
      </c>
      <c r="E228" s="2" t="s">
        <v>14</v>
      </c>
      <c r="F228" s="2" t="n">
        <v>1</v>
      </c>
      <c r="G228" s="2"/>
      <c r="H228" s="3" t="s">
        <v>15</v>
      </c>
      <c r="I228" s="2" t="s">
        <v>1064</v>
      </c>
      <c r="J228" s="2" t="s">
        <v>1065</v>
      </c>
      <c r="K228" s="2" t="s">
        <v>1066</v>
      </c>
    </row>
    <row r="229" customFormat="false" ht="15" hidden="false" customHeight="false" outlineLevel="0" collapsed="false">
      <c r="A229" s="2" t="n">
        <v>228</v>
      </c>
      <c r="B229" s="2" t="s">
        <v>1067</v>
      </c>
      <c r="C229" s="2" t="s">
        <v>1068</v>
      </c>
      <c r="D229" s="2" t="s">
        <v>13</v>
      </c>
      <c r="E229" s="2" t="s">
        <v>14</v>
      </c>
      <c r="F229" s="2" t="n">
        <v>1</v>
      </c>
      <c r="G229" s="2"/>
      <c r="H229" s="3" t="s">
        <v>15</v>
      </c>
      <c r="I229" s="2" t="s">
        <v>1069</v>
      </c>
      <c r="J229" s="2" t="s">
        <v>1070</v>
      </c>
      <c r="K229" s="2" t="s">
        <v>1071</v>
      </c>
    </row>
    <row r="230" customFormat="false" ht="15" hidden="false" customHeight="false" outlineLevel="0" collapsed="false">
      <c r="A230" s="2" t="n">
        <v>229</v>
      </c>
      <c r="B230" s="2" t="s">
        <v>1072</v>
      </c>
      <c r="C230" s="2" t="s">
        <v>407</v>
      </c>
      <c r="D230" s="2" t="s">
        <v>13</v>
      </c>
      <c r="E230" s="2" t="s">
        <v>14</v>
      </c>
      <c r="F230" s="2" t="n">
        <v>1</v>
      </c>
      <c r="G230" s="2"/>
      <c r="H230" s="3" t="s">
        <v>15</v>
      </c>
      <c r="I230" s="2" t="s">
        <v>343</v>
      </c>
      <c r="J230" s="2" t="s">
        <v>1073</v>
      </c>
      <c r="K230" s="2"/>
    </row>
    <row r="231" customFormat="false" ht="15" hidden="false" customHeight="false" outlineLevel="0" collapsed="false">
      <c r="A231" s="2" t="n">
        <v>230</v>
      </c>
      <c r="B231" s="2" t="s">
        <v>1074</v>
      </c>
      <c r="C231" s="2" t="s">
        <v>1075</v>
      </c>
      <c r="D231" s="2" t="s">
        <v>13</v>
      </c>
      <c r="E231" s="2" t="s">
        <v>14</v>
      </c>
      <c r="F231" s="2" t="n">
        <v>1</v>
      </c>
      <c r="G231" s="2"/>
      <c r="H231" s="3" t="s">
        <v>15</v>
      </c>
      <c r="I231" s="2" t="s">
        <v>1076</v>
      </c>
      <c r="J231" s="2" t="s">
        <v>1077</v>
      </c>
      <c r="K231" s="2" t="s">
        <v>1078</v>
      </c>
    </row>
    <row r="232" customFormat="false" ht="15" hidden="false" customHeight="false" outlineLevel="0" collapsed="false">
      <c r="A232" s="2" t="n">
        <v>231</v>
      </c>
      <c r="B232" s="2" t="s">
        <v>1079</v>
      </c>
      <c r="C232" s="2" t="s">
        <v>1080</v>
      </c>
      <c r="D232" s="2" t="s">
        <v>258</v>
      </c>
      <c r="E232" s="2" t="s">
        <v>43</v>
      </c>
      <c r="F232" s="2" t="n">
        <v>3</v>
      </c>
      <c r="G232" s="2" t="s">
        <v>1081</v>
      </c>
      <c r="H232" s="4" t="s">
        <v>21</v>
      </c>
      <c r="I232" s="2" t="s">
        <v>942</v>
      </c>
      <c r="J232" s="2" t="s">
        <v>1082</v>
      </c>
      <c r="K232" s="2" t="s">
        <v>1083</v>
      </c>
    </row>
    <row r="233" customFormat="false" ht="15" hidden="false" customHeight="false" outlineLevel="0" collapsed="false">
      <c r="A233" s="2" t="n">
        <v>232</v>
      </c>
      <c r="B233" s="2" t="s">
        <v>1084</v>
      </c>
      <c r="C233" s="2" t="s">
        <v>127</v>
      </c>
      <c r="D233" s="2" t="s">
        <v>20</v>
      </c>
      <c r="E233" s="2" t="s">
        <v>14</v>
      </c>
      <c r="F233" s="2" t="n">
        <v>1</v>
      </c>
      <c r="G233" s="2"/>
      <c r="H233" s="3" t="s">
        <v>15</v>
      </c>
      <c r="I233" s="2" t="s">
        <v>1085</v>
      </c>
      <c r="J233" s="2" t="s">
        <v>1086</v>
      </c>
      <c r="K233" s="2" t="s">
        <v>1087</v>
      </c>
    </row>
    <row r="234" customFormat="false" ht="15" hidden="false" customHeight="false" outlineLevel="0" collapsed="false">
      <c r="A234" s="2" t="n">
        <v>233</v>
      </c>
      <c r="B234" s="2" t="s">
        <v>1088</v>
      </c>
      <c r="C234" s="2" t="s">
        <v>1089</v>
      </c>
      <c r="D234" s="2" t="s">
        <v>13</v>
      </c>
      <c r="E234" s="2" t="s">
        <v>14</v>
      </c>
      <c r="F234" s="2" t="n">
        <v>4</v>
      </c>
      <c r="G234" s="2"/>
      <c r="H234" s="4" t="s">
        <v>21</v>
      </c>
      <c r="I234" s="2" t="s">
        <v>1090</v>
      </c>
      <c r="J234" s="2" t="s">
        <v>1091</v>
      </c>
      <c r="K234" s="2" t="s">
        <v>1092</v>
      </c>
    </row>
    <row r="235" customFormat="false" ht="15" hidden="false" customHeight="false" outlineLevel="0" collapsed="false">
      <c r="A235" s="2" t="n">
        <v>234</v>
      </c>
      <c r="B235" s="2" t="s">
        <v>1093</v>
      </c>
      <c r="C235" s="2" t="s">
        <v>1094</v>
      </c>
      <c r="D235" s="2" t="s">
        <v>13</v>
      </c>
      <c r="E235" s="2" t="s">
        <v>14</v>
      </c>
      <c r="F235" s="2" t="n">
        <v>1</v>
      </c>
      <c r="G235" s="2"/>
      <c r="H235" s="4" t="s">
        <v>21</v>
      </c>
      <c r="I235" s="2" t="s">
        <v>953</v>
      </c>
      <c r="J235" s="2" t="s">
        <v>1095</v>
      </c>
      <c r="K235" s="2" t="s">
        <v>1030</v>
      </c>
    </row>
    <row r="236" customFormat="false" ht="15" hidden="false" customHeight="false" outlineLevel="0" collapsed="false">
      <c r="A236" s="2" t="n">
        <v>235</v>
      </c>
      <c r="B236" s="2" t="s">
        <v>1096</v>
      </c>
      <c r="C236" s="2" t="s">
        <v>319</v>
      </c>
      <c r="D236" s="2" t="s">
        <v>314</v>
      </c>
      <c r="E236" s="2" t="s">
        <v>182</v>
      </c>
      <c r="F236" s="2" t="n">
        <v>2</v>
      </c>
      <c r="G236" s="2" t="s">
        <v>1097</v>
      </c>
      <c r="H236" s="4" t="s">
        <v>21</v>
      </c>
      <c r="I236" s="2" t="s">
        <v>649</v>
      </c>
      <c r="J236" s="2" t="s">
        <v>1098</v>
      </c>
      <c r="K236" s="2" t="s">
        <v>1099</v>
      </c>
    </row>
    <row r="237" customFormat="false" ht="15" hidden="false" customHeight="false" outlineLevel="0" collapsed="false">
      <c r="A237" s="2" t="n">
        <v>236</v>
      </c>
      <c r="B237" s="2" t="s">
        <v>1100</v>
      </c>
      <c r="C237" s="2" t="s">
        <v>1101</v>
      </c>
      <c r="D237" s="2" t="s">
        <v>42</v>
      </c>
      <c r="E237" s="2" t="s">
        <v>43</v>
      </c>
      <c r="F237" s="2" t="n">
        <v>1</v>
      </c>
      <c r="G237" s="2" t="s">
        <v>1102</v>
      </c>
      <c r="H237" s="5" t="s">
        <v>45</v>
      </c>
      <c r="I237" s="2" t="s">
        <v>1103</v>
      </c>
      <c r="J237" s="2" t="s">
        <v>47</v>
      </c>
      <c r="K237" s="2"/>
    </row>
    <row r="238" customFormat="false" ht="15" hidden="false" customHeight="false" outlineLevel="0" collapsed="false">
      <c r="A238" s="2" t="n">
        <v>237</v>
      </c>
      <c r="B238" s="2" t="s">
        <v>1104</v>
      </c>
      <c r="C238" s="2" t="s">
        <v>736</v>
      </c>
      <c r="D238" s="2" t="s">
        <v>98</v>
      </c>
      <c r="E238" s="2" t="s">
        <v>14</v>
      </c>
      <c r="F238" s="2" t="n">
        <v>2</v>
      </c>
      <c r="G238" s="2"/>
      <c r="H238" s="3" t="s">
        <v>15</v>
      </c>
      <c r="I238" s="2" t="s">
        <v>1105</v>
      </c>
      <c r="J238" s="2" t="s">
        <v>1106</v>
      </c>
      <c r="K238" s="2" t="s">
        <v>1107</v>
      </c>
    </row>
    <row r="239" customFormat="false" ht="15" hidden="false" customHeight="false" outlineLevel="0" collapsed="false">
      <c r="A239" s="2" t="n">
        <v>238</v>
      </c>
      <c r="B239" s="2" t="s">
        <v>1108</v>
      </c>
      <c r="C239" s="2" t="s">
        <v>1109</v>
      </c>
      <c r="D239" s="2" t="s">
        <v>42</v>
      </c>
      <c r="E239" s="2" t="s">
        <v>43</v>
      </c>
      <c r="F239" s="2" t="n">
        <v>1</v>
      </c>
      <c r="G239" s="2" t="s">
        <v>1110</v>
      </c>
      <c r="H239" s="5" t="s">
        <v>45</v>
      </c>
      <c r="I239" s="2" t="s">
        <v>1111</v>
      </c>
      <c r="J239" s="2" t="s">
        <v>47</v>
      </c>
      <c r="K239" s="2"/>
    </row>
    <row r="240" customFormat="false" ht="15" hidden="false" customHeight="false" outlineLevel="0" collapsed="false">
      <c r="A240" s="2" t="n">
        <v>239</v>
      </c>
      <c r="B240" s="2" t="s">
        <v>1112</v>
      </c>
      <c r="C240" s="2" t="s">
        <v>690</v>
      </c>
      <c r="D240" s="2" t="s">
        <v>13</v>
      </c>
      <c r="E240" s="2" t="s">
        <v>14</v>
      </c>
      <c r="F240" s="2" t="n">
        <v>1</v>
      </c>
      <c r="G240" s="2"/>
      <c r="H240" s="3" t="s">
        <v>15</v>
      </c>
      <c r="I240" s="2" t="s">
        <v>343</v>
      </c>
      <c r="J240" s="2" t="s">
        <v>1113</v>
      </c>
      <c r="K240" s="2"/>
    </row>
    <row r="241" customFormat="false" ht="15" hidden="false" customHeight="false" outlineLevel="0" collapsed="false">
      <c r="A241" s="2" t="n">
        <v>240</v>
      </c>
      <c r="B241" s="2" t="s">
        <v>1114</v>
      </c>
      <c r="C241" s="2" t="s">
        <v>1075</v>
      </c>
      <c r="D241" s="2" t="s">
        <v>13</v>
      </c>
      <c r="E241" s="2" t="s">
        <v>14</v>
      </c>
      <c r="F241" s="2" t="n">
        <v>1</v>
      </c>
      <c r="G241" s="2"/>
      <c r="H241" s="4" t="s">
        <v>21</v>
      </c>
      <c r="I241" s="2" t="s">
        <v>1115</v>
      </c>
      <c r="J241" s="2" t="s">
        <v>1116</v>
      </c>
      <c r="K241" s="2" t="s">
        <v>1117</v>
      </c>
    </row>
    <row r="242" customFormat="false" ht="15" hidden="false" customHeight="false" outlineLevel="0" collapsed="false">
      <c r="A242" s="2" t="n">
        <v>241</v>
      </c>
      <c r="B242" s="2" t="s">
        <v>1118</v>
      </c>
      <c r="C242" s="2" t="s">
        <v>1119</v>
      </c>
      <c r="D242" s="2" t="s">
        <v>20</v>
      </c>
      <c r="E242" s="2" t="s">
        <v>14</v>
      </c>
      <c r="F242" s="2" t="n">
        <v>1</v>
      </c>
      <c r="G242" s="2"/>
      <c r="H242" s="3" t="s">
        <v>15</v>
      </c>
      <c r="I242" s="2" t="s">
        <v>1120</v>
      </c>
      <c r="J242" s="2" t="s">
        <v>1121</v>
      </c>
      <c r="K242" s="2" t="s">
        <v>1122</v>
      </c>
    </row>
    <row r="243" customFormat="false" ht="15" hidden="false" customHeight="false" outlineLevel="0" collapsed="false">
      <c r="A243" s="2" t="n">
        <v>242</v>
      </c>
      <c r="B243" s="2" t="s">
        <v>1123</v>
      </c>
      <c r="C243" s="2" t="s">
        <v>1124</v>
      </c>
      <c r="D243" s="2" t="s">
        <v>20</v>
      </c>
      <c r="E243" s="2" t="s">
        <v>14</v>
      </c>
      <c r="F243" s="2" t="n">
        <v>1</v>
      </c>
      <c r="G243" s="2"/>
      <c r="H243" s="5" t="s">
        <v>45</v>
      </c>
      <c r="I243" s="2" t="s">
        <v>1125</v>
      </c>
      <c r="J243" s="2" t="s">
        <v>1126</v>
      </c>
      <c r="K243" s="2" t="s">
        <v>1127</v>
      </c>
    </row>
    <row r="244" customFormat="false" ht="15" hidden="false" customHeight="false" outlineLevel="0" collapsed="false">
      <c r="A244" s="2" t="n">
        <v>243</v>
      </c>
      <c r="B244" s="2" t="s">
        <v>925</v>
      </c>
      <c r="C244" s="2" t="s">
        <v>1128</v>
      </c>
      <c r="D244" s="2" t="s">
        <v>13</v>
      </c>
      <c r="E244" s="2" t="s">
        <v>14</v>
      </c>
      <c r="F244" s="2" t="n">
        <v>1</v>
      </c>
      <c r="G244" s="2"/>
      <c r="H244" s="3" t="s">
        <v>15</v>
      </c>
      <c r="I244" s="2" t="s">
        <v>16</v>
      </c>
      <c r="J244" s="2" t="s">
        <v>1129</v>
      </c>
      <c r="K244" s="2"/>
    </row>
    <row r="245" customFormat="false" ht="15" hidden="false" customHeight="false" outlineLevel="0" collapsed="false">
      <c r="A245" s="2" t="n">
        <v>244</v>
      </c>
      <c r="B245" s="2" t="s">
        <v>1130</v>
      </c>
      <c r="C245" s="2" t="s">
        <v>1094</v>
      </c>
      <c r="D245" s="2" t="s">
        <v>13</v>
      </c>
      <c r="E245" s="2" t="s">
        <v>14</v>
      </c>
      <c r="F245" s="2" t="n">
        <v>1</v>
      </c>
      <c r="G245" s="2"/>
      <c r="H245" s="3" t="s">
        <v>15</v>
      </c>
      <c r="I245" s="2" t="s">
        <v>1131</v>
      </c>
      <c r="J245" s="2" t="s">
        <v>1132</v>
      </c>
      <c r="K245" s="2" t="s">
        <v>1133</v>
      </c>
    </row>
    <row r="246" customFormat="false" ht="15" hidden="false" customHeight="false" outlineLevel="0" collapsed="false">
      <c r="A246" s="2" t="n">
        <v>245</v>
      </c>
      <c r="B246" s="2" t="s">
        <v>1134</v>
      </c>
      <c r="C246" s="2" t="s">
        <v>127</v>
      </c>
      <c r="D246" s="2" t="s">
        <v>61</v>
      </c>
      <c r="E246" s="2" t="s">
        <v>43</v>
      </c>
      <c r="F246" s="2" t="n">
        <v>1</v>
      </c>
      <c r="G246" s="2" t="s">
        <v>1135</v>
      </c>
      <c r="H246" s="3" t="s">
        <v>15</v>
      </c>
      <c r="I246" s="2" t="s">
        <v>1136</v>
      </c>
      <c r="J246" s="2" t="s">
        <v>1137</v>
      </c>
      <c r="K246" s="2"/>
    </row>
    <row r="247" customFormat="false" ht="15" hidden="false" customHeight="false" outlineLevel="0" collapsed="false">
      <c r="A247" s="2" t="n">
        <v>246</v>
      </c>
      <c r="B247" s="2" t="s">
        <v>1138</v>
      </c>
      <c r="C247" s="2" t="s">
        <v>665</v>
      </c>
      <c r="D247" s="2" t="s">
        <v>13</v>
      </c>
      <c r="E247" s="2" t="s">
        <v>14</v>
      </c>
      <c r="F247" s="2" t="n">
        <v>1</v>
      </c>
      <c r="G247" s="2"/>
      <c r="H247" s="4" t="s">
        <v>21</v>
      </c>
      <c r="I247" s="2" t="s">
        <v>927</v>
      </c>
      <c r="J247" s="2" t="s">
        <v>1139</v>
      </c>
      <c r="K247" s="2" t="s">
        <v>1140</v>
      </c>
    </row>
    <row r="248" customFormat="false" ht="15" hidden="false" customHeight="false" outlineLevel="0" collapsed="false">
      <c r="A248" s="2" t="n">
        <v>247</v>
      </c>
      <c r="B248" s="2" t="s">
        <v>1141</v>
      </c>
      <c r="C248" s="2" t="s">
        <v>1142</v>
      </c>
      <c r="D248" s="2" t="s">
        <v>61</v>
      </c>
      <c r="E248" s="2" t="s">
        <v>43</v>
      </c>
      <c r="F248" s="2" t="n">
        <v>2</v>
      </c>
      <c r="G248" s="2" t="s">
        <v>1143</v>
      </c>
      <c r="H248" s="3" t="s">
        <v>15</v>
      </c>
      <c r="I248" s="2" t="s">
        <v>1136</v>
      </c>
      <c r="J248" s="2" t="s">
        <v>1144</v>
      </c>
      <c r="K248" s="2"/>
    </row>
    <row r="249" customFormat="false" ht="15" hidden="false" customHeight="false" outlineLevel="0" collapsed="false">
      <c r="A249" s="2" t="n">
        <v>248</v>
      </c>
      <c r="B249" s="2" t="s">
        <v>1145</v>
      </c>
      <c r="C249" s="2" t="s">
        <v>1146</v>
      </c>
      <c r="D249" s="2" t="s">
        <v>258</v>
      </c>
      <c r="E249" s="2" t="s">
        <v>43</v>
      </c>
      <c r="F249" s="2" t="n">
        <v>2</v>
      </c>
      <c r="G249" s="2" t="s">
        <v>1147</v>
      </c>
      <c r="H249" s="3" t="s">
        <v>15</v>
      </c>
      <c r="I249" s="2" t="s">
        <v>1148</v>
      </c>
      <c r="J249" s="2" t="s">
        <v>1149</v>
      </c>
      <c r="K249" s="2"/>
    </row>
    <row r="250" customFormat="false" ht="15" hidden="false" customHeight="false" outlineLevel="0" collapsed="false">
      <c r="A250" s="2" t="n">
        <v>249</v>
      </c>
      <c r="B250" s="2" t="s">
        <v>1150</v>
      </c>
      <c r="C250" s="2" t="s">
        <v>1151</v>
      </c>
      <c r="D250" s="2" t="s">
        <v>20</v>
      </c>
      <c r="E250" s="2" t="s">
        <v>14</v>
      </c>
      <c r="F250" s="2" t="n">
        <v>1</v>
      </c>
      <c r="G250" s="2"/>
      <c r="H250" s="5" t="s">
        <v>45</v>
      </c>
      <c r="I250" s="2" t="s">
        <v>1152</v>
      </c>
      <c r="J250" s="2" t="s">
        <v>1153</v>
      </c>
      <c r="K250" s="2" t="s">
        <v>1154</v>
      </c>
    </row>
    <row r="251" customFormat="false" ht="15" hidden="false" customHeight="false" outlineLevel="0" collapsed="false">
      <c r="A251" s="2" t="n">
        <v>250</v>
      </c>
      <c r="B251" s="2" t="s">
        <v>1155</v>
      </c>
      <c r="C251" s="2" t="s">
        <v>736</v>
      </c>
      <c r="D251" s="2" t="s">
        <v>20</v>
      </c>
      <c r="E251" s="2" t="s">
        <v>14</v>
      </c>
      <c r="F251" s="2" t="n">
        <v>1</v>
      </c>
      <c r="G251" s="2"/>
      <c r="H251" s="3" t="s">
        <v>15</v>
      </c>
      <c r="I251" s="2" t="s">
        <v>1156</v>
      </c>
      <c r="J251" s="2" t="s">
        <v>1157</v>
      </c>
      <c r="K251" s="2" t="s">
        <v>1158</v>
      </c>
    </row>
    <row r="252" customFormat="false" ht="15" hidden="false" customHeight="false" outlineLevel="0" collapsed="false">
      <c r="A252" s="2" t="n">
        <v>251</v>
      </c>
      <c r="B252" s="2" t="s">
        <v>1159</v>
      </c>
      <c r="C252" s="2" t="s">
        <v>1160</v>
      </c>
      <c r="D252" s="2" t="s">
        <v>61</v>
      </c>
      <c r="E252" s="2" t="s">
        <v>43</v>
      </c>
      <c r="F252" s="2" t="n">
        <v>1</v>
      </c>
      <c r="G252" s="2" t="s">
        <v>1161</v>
      </c>
      <c r="H252" s="3" t="s">
        <v>15</v>
      </c>
      <c r="I252" s="2" t="s">
        <v>1136</v>
      </c>
      <c r="J252" s="2" t="s">
        <v>1162</v>
      </c>
      <c r="K252" s="2"/>
    </row>
    <row r="253" customFormat="false" ht="15" hidden="false" customHeight="false" outlineLevel="0" collapsed="false">
      <c r="A253" s="2" t="n">
        <v>252</v>
      </c>
      <c r="B253" s="2" t="s">
        <v>1163</v>
      </c>
      <c r="C253" s="2" t="s">
        <v>1164</v>
      </c>
      <c r="D253" s="2" t="s">
        <v>13</v>
      </c>
      <c r="E253" s="2" t="s">
        <v>14</v>
      </c>
      <c r="F253" s="2" t="n">
        <v>3</v>
      </c>
      <c r="G253" s="2"/>
      <c r="H253" s="3" t="s">
        <v>15</v>
      </c>
      <c r="I253" s="2" t="s">
        <v>671</v>
      </c>
      <c r="J253" s="2" t="s">
        <v>1165</v>
      </c>
      <c r="K253" s="2" t="s">
        <v>1166</v>
      </c>
    </row>
    <row r="254" customFormat="false" ht="15" hidden="false" customHeight="false" outlineLevel="0" collapsed="false">
      <c r="A254" s="2" t="n">
        <v>253</v>
      </c>
      <c r="B254" s="2" t="s">
        <v>574</v>
      </c>
      <c r="C254" s="2" t="s">
        <v>1167</v>
      </c>
      <c r="D254" s="2" t="s">
        <v>20</v>
      </c>
      <c r="E254" s="2" t="s">
        <v>14</v>
      </c>
      <c r="F254" s="2" t="n">
        <v>1</v>
      </c>
      <c r="G254" s="2"/>
      <c r="H254" s="5" t="s">
        <v>45</v>
      </c>
      <c r="I254" s="2" t="s">
        <v>1168</v>
      </c>
      <c r="J254" s="2" t="s">
        <v>1169</v>
      </c>
      <c r="K254" s="2" t="s">
        <v>1170</v>
      </c>
    </row>
    <row r="255" customFormat="false" ht="15" hidden="false" customHeight="false" outlineLevel="0" collapsed="false">
      <c r="A255" s="2" t="n">
        <v>254</v>
      </c>
      <c r="B255" s="2" t="s">
        <v>1171</v>
      </c>
      <c r="C255" s="2" t="s">
        <v>642</v>
      </c>
      <c r="D255" s="2" t="s">
        <v>13</v>
      </c>
      <c r="E255" s="2" t="s">
        <v>14</v>
      </c>
      <c r="F255" s="2" t="n">
        <v>1</v>
      </c>
      <c r="G255" s="2"/>
      <c r="H255" s="4" t="s">
        <v>21</v>
      </c>
      <c r="I255" s="2" t="s">
        <v>1172</v>
      </c>
      <c r="J255" s="2" t="s">
        <v>1173</v>
      </c>
      <c r="K255" s="2" t="s">
        <v>1174</v>
      </c>
    </row>
    <row r="256" customFormat="false" ht="15" hidden="false" customHeight="false" outlineLevel="0" collapsed="false">
      <c r="A256" s="2" t="n">
        <v>255</v>
      </c>
      <c r="B256" s="2" t="s">
        <v>1175</v>
      </c>
      <c r="C256" s="2" t="s">
        <v>1176</v>
      </c>
      <c r="D256" s="2" t="s">
        <v>13</v>
      </c>
      <c r="E256" s="2" t="s">
        <v>14</v>
      </c>
      <c r="F256" s="2" t="n">
        <v>2</v>
      </c>
      <c r="G256" s="2"/>
      <c r="H256" s="3" t="s">
        <v>15</v>
      </c>
      <c r="I256" s="2" t="s">
        <v>1177</v>
      </c>
      <c r="J256" s="2" t="s">
        <v>1178</v>
      </c>
      <c r="K256" s="2" t="s">
        <v>1179</v>
      </c>
    </row>
    <row r="257" customFormat="false" ht="15" hidden="false" customHeight="false" outlineLevel="0" collapsed="false">
      <c r="A257" s="2" t="n">
        <v>256</v>
      </c>
      <c r="B257" s="2" t="s">
        <v>297</v>
      </c>
      <c r="C257" s="2" t="s">
        <v>31</v>
      </c>
      <c r="D257" s="2" t="s">
        <v>42</v>
      </c>
      <c r="E257" s="2" t="s">
        <v>43</v>
      </c>
      <c r="F257" s="2" t="n">
        <v>1</v>
      </c>
      <c r="G257" s="2" t="s">
        <v>1180</v>
      </c>
      <c r="H257" s="3" t="s">
        <v>15</v>
      </c>
      <c r="I257" s="2" t="s">
        <v>1136</v>
      </c>
      <c r="J257" s="2" t="s">
        <v>1181</v>
      </c>
      <c r="K257" s="2"/>
    </row>
    <row r="258" customFormat="false" ht="15" hidden="false" customHeight="false" outlineLevel="0" collapsed="false">
      <c r="A258" s="2" t="n">
        <v>257</v>
      </c>
      <c r="B258" s="2" t="s">
        <v>1182</v>
      </c>
      <c r="C258" s="2" t="s">
        <v>957</v>
      </c>
      <c r="D258" s="2" t="s">
        <v>98</v>
      </c>
      <c r="E258" s="2" t="s">
        <v>14</v>
      </c>
      <c r="F258" s="2" t="n">
        <v>4</v>
      </c>
      <c r="G258" s="2"/>
      <c r="H258" s="3" t="s">
        <v>15</v>
      </c>
      <c r="I258" s="2" t="s">
        <v>176</v>
      </c>
      <c r="J258" s="2" t="s">
        <v>1183</v>
      </c>
      <c r="K258" s="2" t="s">
        <v>1184</v>
      </c>
    </row>
    <row r="259" customFormat="false" ht="15" hidden="false" customHeight="false" outlineLevel="0" collapsed="false">
      <c r="A259" s="2" t="n">
        <v>258</v>
      </c>
      <c r="B259" s="2" t="s">
        <v>1185</v>
      </c>
      <c r="C259" s="2" t="s">
        <v>1186</v>
      </c>
      <c r="D259" s="2" t="s">
        <v>13</v>
      </c>
      <c r="E259" s="2" t="s">
        <v>14</v>
      </c>
      <c r="F259" s="2" t="n">
        <v>1</v>
      </c>
      <c r="G259" s="2"/>
      <c r="H259" s="3" t="s">
        <v>15</v>
      </c>
      <c r="I259" s="2" t="s">
        <v>16</v>
      </c>
      <c r="J259" s="2" t="s">
        <v>1187</v>
      </c>
      <c r="K259" s="2"/>
    </row>
    <row r="260" customFormat="false" ht="15" hidden="false" customHeight="false" outlineLevel="0" collapsed="false">
      <c r="A260" s="2" t="n">
        <v>259</v>
      </c>
      <c r="B260" s="2" t="s">
        <v>1188</v>
      </c>
      <c r="C260" s="2" t="s">
        <v>1189</v>
      </c>
      <c r="D260" s="2" t="s">
        <v>42</v>
      </c>
      <c r="E260" s="2" t="s">
        <v>43</v>
      </c>
      <c r="F260" s="2" t="n">
        <v>2</v>
      </c>
      <c r="G260" s="2" t="s">
        <v>1190</v>
      </c>
      <c r="H260" s="4" t="s">
        <v>21</v>
      </c>
      <c r="I260" s="2" t="s">
        <v>1191</v>
      </c>
      <c r="J260" s="2" t="s">
        <v>1192</v>
      </c>
      <c r="K260" s="2" t="s">
        <v>1193</v>
      </c>
    </row>
    <row r="261" customFormat="false" ht="15" hidden="false" customHeight="false" outlineLevel="0" collapsed="false">
      <c r="A261" s="2" t="n">
        <v>260</v>
      </c>
      <c r="B261" s="2" t="s">
        <v>1068</v>
      </c>
      <c r="C261" s="2" t="s">
        <v>1194</v>
      </c>
      <c r="D261" s="2" t="s">
        <v>98</v>
      </c>
      <c r="E261" s="2" t="s">
        <v>14</v>
      </c>
      <c r="F261" s="2" t="n">
        <v>2</v>
      </c>
      <c r="G261" s="2"/>
      <c r="H261" s="3" t="s">
        <v>15</v>
      </c>
      <c r="I261" s="2" t="s">
        <v>1195</v>
      </c>
      <c r="J261" s="2" t="s">
        <v>1196</v>
      </c>
      <c r="K261" s="2" t="s">
        <v>1197</v>
      </c>
    </row>
    <row r="262" customFormat="false" ht="15" hidden="false" customHeight="false" outlineLevel="0" collapsed="false">
      <c r="A262" s="2" t="n">
        <v>261</v>
      </c>
      <c r="B262" s="2" t="s">
        <v>1198</v>
      </c>
      <c r="C262" s="2" t="s">
        <v>1199</v>
      </c>
      <c r="D262" s="2" t="s">
        <v>20</v>
      </c>
      <c r="E262" s="2" t="s">
        <v>14</v>
      </c>
      <c r="F262" s="2" t="n">
        <v>2</v>
      </c>
      <c r="G262" s="2"/>
      <c r="H262" s="4" t="s">
        <v>21</v>
      </c>
      <c r="I262" s="2" t="s">
        <v>1200</v>
      </c>
      <c r="J262" s="2" t="s">
        <v>1201</v>
      </c>
      <c r="K262" s="2" t="s">
        <v>1202</v>
      </c>
    </row>
    <row r="263" customFormat="false" ht="15" hidden="false" customHeight="false" outlineLevel="0" collapsed="false">
      <c r="A263" s="2" t="n">
        <v>262</v>
      </c>
      <c r="B263" s="2" t="s">
        <v>1203</v>
      </c>
      <c r="C263" s="2" t="s">
        <v>1204</v>
      </c>
      <c r="D263" s="2" t="s">
        <v>61</v>
      </c>
      <c r="E263" s="2" t="s">
        <v>43</v>
      </c>
      <c r="F263" s="2" t="n">
        <v>1</v>
      </c>
      <c r="G263" s="2" t="s">
        <v>1205</v>
      </c>
      <c r="H263" s="4" t="s">
        <v>21</v>
      </c>
      <c r="I263" s="2" t="s">
        <v>435</v>
      </c>
      <c r="J263" s="2" t="s">
        <v>1206</v>
      </c>
      <c r="K263" s="2" t="s">
        <v>1207</v>
      </c>
    </row>
    <row r="264" customFormat="false" ht="15" hidden="false" customHeight="false" outlineLevel="0" collapsed="false">
      <c r="A264" s="2" t="n">
        <v>263</v>
      </c>
      <c r="B264" s="2" t="s">
        <v>1208</v>
      </c>
      <c r="C264" s="2" t="s">
        <v>1209</v>
      </c>
      <c r="D264" s="2" t="s">
        <v>61</v>
      </c>
      <c r="E264" s="2" t="s">
        <v>43</v>
      </c>
      <c r="F264" s="2" t="n">
        <v>1</v>
      </c>
      <c r="G264" s="2" t="s">
        <v>1210</v>
      </c>
      <c r="H264" s="4" t="s">
        <v>21</v>
      </c>
      <c r="I264" s="2" t="s">
        <v>1211</v>
      </c>
      <c r="J264" s="2" t="s">
        <v>1212</v>
      </c>
      <c r="K264" s="2" t="s">
        <v>1213</v>
      </c>
    </row>
    <row r="265" customFormat="false" ht="15" hidden="false" customHeight="false" outlineLevel="0" collapsed="false">
      <c r="A265" s="2" t="n">
        <v>264</v>
      </c>
      <c r="B265" s="2" t="s">
        <v>1214</v>
      </c>
      <c r="C265" s="2" t="s">
        <v>881</v>
      </c>
      <c r="D265" s="2" t="s">
        <v>61</v>
      </c>
      <c r="E265" s="2" t="s">
        <v>43</v>
      </c>
      <c r="F265" s="2" t="n">
        <v>1</v>
      </c>
      <c r="G265" s="2" t="s">
        <v>1215</v>
      </c>
      <c r="H265" s="3" t="s">
        <v>15</v>
      </c>
      <c r="I265" s="2" t="s">
        <v>343</v>
      </c>
      <c r="J265" s="2" t="s">
        <v>1216</v>
      </c>
      <c r="K265" s="2"/>
    </row>
    <row r="266" customFormat="false" ht="15" hidden="false" customHeight="false" outlineLevel="0" collapsed="false">
      <c r="A266" s="2" t="n">
        <v>265</v>
      </c>
      <c r="B266" s="2" t="s">
        <v>1217</v>
      </c>
      <c r="C266" s="2" t="s">
        <v>736</v>
      </c>
      <c r="D266" s="2" t="s">
        <v>20</v>
      </c>
      <c r="E266" s="2" t="s">
        <v>14</v>
      </c>
      <c r="F266" s="2" t="n">
        <v>1</v>
      </c>
      <c r="G266" s="2"/>
      <c r="H266" s="3" t="s">
        <v>15</v>
      </c>
      <c r="I266" s="2" t="s">
        <v>1218</v>
      </c>
      <c r="J266" s="2" t="s">
        <v>1219</v>
      </c>
      <c r="K266" s="2" t="s">
        <v>1220</v>
      </c>
    </row>
    <row r="267" customFormat="false" ht="15" hidden="false" customHeight="false" outlineLevel="0" collapsed="false">
      <c r="A267" s="2" t="n">
        <v>266</v>
      </c>
      <c r="B267" s="2" t="s">
        <v>1221</v>
      </c>
      <c r="C267" s="2" t="s">
        <v>1222</v>
      </c>
      <c r="D267" s="2" t="s">
        <v>181</v>
      </c>
      <c r="E267" s="2" t="s">
        <v>182</v>
      </c>
      <c r="F267" s="2" t="n">
        <v>2</v>
      </c>
      <c r="G267" s="2" t="s">
        <v>1223</v>
      </c>
      <c r="H267" s="4" t="s">
        <v>21</v>
      </c>
      <c r="I267" s="2" t="s">
        <v>1224</v>
      </c>
      <c r="J267" s="2" t="s">
        <v>1225</v>
      </c>
      <c r="K267" s="2" t="s">
        <v>1226</v>
      </c>
    </row>
    <row r="268" customFormat="false" ht="15" hidden="false" customHeight="false" outlineLevel="0" collapsed="false">
      <c r="A268" s="2" t="n">
        <v>267</v>
      </c>
      <c r="B268" s="2" t="s">
        <v>1227</v>
      </c>
      <c r="C268" s="2" t="s">
        <v>1228</v>
      </c>
      <c r="D268" s="2" t="s">
        <v>13</v>
      </c>
      <c r="E268" s="2" t="s">
        <v>14</v>
      </c>
      <c r="F268" s="2" t="n">
        <v>1</v>
      </c>
      <c r="G268" s="2"/>
      <c r="H268" s="3" t="s">
        <v>15</v>
      </c>
      <c r="I268" s="2" t="s">
        <v>343</v>
      </c>
      <c r="J268" s="2" t="s">
        <v>1229</v>
      </c>
      <c r="K268" s="2"/>
    </row>
    <row r="269" customFormat="false" ht="15" hidden="false" customHeight="false" outlineLevel="0" collapsed="false">
      <c r="A269" s="2" t="n">
        <v>268</v>
      </c>
      <c r="B269" s="2" t="s">
        <v>1230</v>
      </c>
      <c r="C269" s="2" t="s">
        <v>272</v>
      </c>
      <c r="D269" s="2" t="s">
        <v>61</v>
      </c>
      <c r="E269" s="2" t="s">
        <v>43</v>
      </c>
      <c r="F269" s="2" t="n">
        <v>2</v>
      </c>
      <c r="G269" s="2" t="s">
        <v>1231</v>
      </c>
      <c r="H269" s="4" t="s">
        <v>21</v>
      </c>
      <c r="I269" s="2" t="s">
        <v>1232</v>
      </c>
      <c r="J269" s="2" t="s">
        <v>1233</v>
      </c>
      <c r="K269" s="2" t="s">
        <v>1234</v>
      </c>
    </row>
    <row r="270" customFormat="false" ht="15" hidden="false" customHeight="false" outlineLevel="0" collapsed="false">
      <c r="A270" s="2" t="n">
        <v>269</v>
      </c>
      <c r="B270" s="2" t="s">
        <v>1235</v>
      </c>
      <c r="C270" s="2" t="s">
        <v>1236</v>
      </c>
      <c r="D270" s="2" t="s">
        <v>20</v>
      </c>
      <c r="E270" s="2" t="s">
        <v>14</v>
      </c>
      <c r="F270" s="2" t="n">
        <v>1</v>
      </c>
      <c r="G270" s="2"/>
      <c r="H270" s="3" t="s">
        <v>15</v>
      </c>
      <c r="I270" s="2" t="s">
        <v>1237</v>
      </c>
      <c r="J270" s="2" t="s">
        <v>1238</v>
      </c>
      <c r="K270" s="2"/>
    </row>
    <row r="271" customFormat="false" ht="15" hidden="false" customHeight="false" outlineLevel="0" collapsed="false">
      <c r="A271" s="2" t="n">
        <v>270</v>
      </c>
      <c r="B271" s="2" t="s">
        <v>1239</v>
      </c>
      <c r="C271" s="2" t="s">
        <v>1240</v>
      </c>
      <c r="D271" s="2" t="s">
        <v>13</v>
      </c>
      <c r="E271" s="2" t="s">
        <v>14</v>
      </c>
      <c r="F271" s="2" t="n">
        <v>3</v>
      </c>
      <c r="G271" s="2"/>
      <c r="H271" s="4" t="s">
        <v>21</v>
      </c>
      <c r="I271" s="2" t="s">
        <v>1241</v>
      </c>
      <c r="J271" s="2" t="s">
        <v>1242</v>
      </c>
      <c r="K271" s="2" t="s">
        <v>1243</v>
      </c>
    </row>
    <row r="272" customFormat="false" ht="15" hidden="false" customHeight="false" outlineLevel="0" collapsed="false">
      <c r="A272" s="2" t="n">
        <v>271</v>
      </c>
      <c r="B272" s="2" t="s">
        <v>1244</v>
      </c>
      <c r="C272" s="2" t="s">
        <v>1245</v>
      </c>
      <c r="D272" s="2" t="s">
        <v>61</v>
      </c>
      <c r="E272" s="2" t="s">
        <v>43</v>
      </c>
      <c r="F272" s="2" t="n">
        <v>3</v>
      </c>
      <c r="G272" s="2" t="s">
        <v>1246</v>
      </c>
      <c r="H272" s="4" t="s">
        <v>21</v>
      </c>
      <c r="I272" s="2" t="s">
        <v>1247</v>
      </c>
      <c r="J272" s="2" t="s">
        <v>1248</v>
      </c>
      <c r="K272" s="2" t="s">
        <v>1249</v>
      </c>
    </row>
    <row r="273" customFormat="false" ht="15" hidden="false" customHeight="false" outlineLevel="0" collapsed="false">
      <c r="A273" s="2" t="n">
        <v>272</v>
      </c>
      <c r="B273" s="2" t="s">
        <v>1250</v>
      </c>
      <c r="C273" s="2" t="s">
        <v>1251</v>
      </c>
      <c r="D273" s="2" t="s">
        <v>258</v>
      </c>
      <c r="E273" s="2" t="s">
        <v>43</v>
      </c>
      <c r="F273" s="2" t="n">
        <v>2</v>
      </c>
      <c r="G273" s="2" t="s">
        <v>1252</v>
      </c>
      <c r="H273" s="4" t="s">
        <v>21</v>
      </c>
      <c r="I273" s="2" t="s">
        <v>309</v>
      </c>
      <c r="J273" s="2" t="s">
        <v>1253</v>
      </c>
      <c r="K273" s="2" t="s">
        <v>1254</v>
      </c>
    </row>
    <row r="274" customFormat="false" ht="15" hidden="false" customHeight="false" outlineLevel="0" collapsed="false">
      <c r="A274" s="2" t="n">
        <v>273</v>
      </c>
      <c r="B274" s="2" t="s">
        <v>1255</v>
      </c>
      <c r="C274" s="2" t="s">
        <v>1256</v>
      </c>
      <c r="D274" s="2" t="s">
        <v>13</v>
      </c>
      <c r="E274" s="2" t="s">
        <v>14</v>
      </c>
      <c r="F274" s="2" t="n">
        <v>2</v>
      </c>
      <c r="G274" s="2"/>
      <c r="H274" s="4" t="s">
        <v>21</v>
      </c>
      <c r="I274" s="2" t="s">
        <v>1257</v>
      </c>
      <c r="J274" s="2" t="s">
        <v>1258</v>
      </c>
      <c r="K274" s="2" t="s">
        <v>1259</v>
      </c>
    </row>
    <row r="275" customFormat="false" ht="15" hidden="false" customHeight="false" outlineLevel="0" collapsed="false">
      <c r="A275" s="2" t="n">
        <v>274</v>
      </c>
      <c r="B275" s="2" t="s">
        <v>1260</v>
      </c>
      <c r="C275" s="2" t="s">
        <v>1261</v>
      </c>
      <c r="D275" s="2" t="s">
        <v>20</v>
      </c>
      <c r="E275" s="2" t="s">
        <v>14</v>
      </c>
      <c r="F275" s="2" t="n">
        <v>1</v>
      </c>
      <c r="G275" s="2"/>
      <c r="H275" s="3" t="s">
        <v>15</v>
      </c>
      <c r="I275" s="2" t="s">
        <v>16</v>
      </c>
      <c r="J275" s="2" t="s">
        <v>1262</v>
      </c>
      <c r="K275" s="2"/>
    </row>
    <row r="276" customFormat="false" ht="15" hidden="false" customHeight="false" outlineLevel="0" collapsed="false">
      <c r="A276" s="2" t="n">
        <v>275</v>
      </c>
      <c r="B276" s="2" t="s">
        <v>1263</v>
      </c>
      <c r="C276" s="2" t="s">
        <v>1264</v>
      </c>
      <c r="D276" s="2" t="s">
        <v>13</v>
      </c>
      <c r="E276" s="2" t="s">
        <v>14</v>
      </c>
      <c r="F276" s="2" t="n">
        <v>1</v>
      </c>
      <c r="G276" s="2"/>
      <c r="H276" s="3" t="s">
        <v>15</v>
      </c>
      <c r="I276" s="2" t="s">
        <v>1265</v>
      </c>
      <c r="J276" s="2" t="s">
        <v>1266</v>
      </c>
      <c r="K276" s="2" t="s">
        <v>1267</v>
      </c>
    </row>
    <row r="277" customFormat="false" ht="15" hidden="false" customHeight="false" outlineLevel="0" collapsed="false">
      <c r="A277" s="2" t="n">
        <v>276</v>
      </c>
      <c r="B277" s="2" t="s">
        <v>1268</v>
      </c>
      <c r="C277" s="2" t="s">
        <v>841</v>
      </c>
      <c r="D277" s="2" t="s">
        <v>13</v>
      </c>
      <c r="E277" s="2" t="s">
        <v>14</v>
      </c>
      <c r="F277" s="2" t="n">
        <v>1</v>
      </c>
      <c r="G277" s="2"/>
      <c r="H277" s="4" t="s">
        <v>21</v>
      </c>
      <c r="I277" s="2" t="s">
        <v>50</v>
      </c>
      <c r="J277" s="2" t="s">
        <v>1269</v>
      </c>
      <c r="K277" s="2" t="s">
        <v>1270</v>
      </c>
    </row>
    <row r="278" customFormat="false" ht="15" hidden="false" customHeight="false" outlineLevel="0" collapsed="false">
      <c r="A278" s="2" t="n">
        <v>277</v>
      </c>
      <c r="B278" s="2" t="s">
        <v>1271</v>
      </c>
      <c r="C278" s="2" t="s">
        <v>319</v>
      </c>
      <c r="D278" s="2" t="s">
        <v>42</v>
      </c>
      <c r="E278" s="2" t="s">
        <v>43</v>
      </c>
      <c r="F278" s="2" t="n">
        <v>1</v>
      </c>
      <c r="G278" s="2" t="s">
        <v>1272</v>
      </c>
      <c r="H278" s="3" t="s">
        <v>15</v>
      </c>
      <c r="I278" s="2" t="s">
        <v>16</v>
      </c>
      <c r="J278" s="2" t="s">
        <v>1273</v>
      </c>
      <c r="K278" s="2"/>
    </row>
    <row r="279" customFormat="false" ht="15" hidden="false" customHeight="false" outlineLevel="0" collapsed="false">
      <c r="A279" s="2" t="n">
        <v>278</v>
      </c>
      <c r="B279" s="2" t="s">
        <v>1274</v>
      </c>
      <c r="C279" s="2" t="s">
        <v>1275</v>
      </c>
      <c r="D279" s="2" t="s">
        <v>20</v>
      </c>
      <c r="E279" s="2" t="s">
        <v>14</v>
      </c>
      <c r="F279" s="2" t="n">
        <v>1</v>
      </c>
      <c r="G279" s="2"/>
      <c r="H279" s="3" t="s">
        <v>15</v>
      </c>
      <c r="I279" s="2" t="s">
        <v>1276</v>
      </c>
      <c r="J279" s="2" t="s">
        <v>1277</v>
      </c>
      <c r="K279" s="2" t="s">
        <v>1278</v>
      </c>
    </row>
    <row r="280" customFormat="false" ht="15" hidden="false" customHeight="false" outlineLevel="0" collapsed="false">
      <c r="A280" s="2" t="n">
        <v>279</v>
      </c>
      <c r="B280" s="2" t="s">
        <v>1279</v>
      </c>
      <c r="C280" s="2" t="s">
        <v>1280</v>
      </c>
      <c r="D280" s="2" t="s">
        <v>13</v>
      </c>
      <c r="E280" s="2" t="s">
        <v>14</v>
      </c>
      <c r="F280" s="2" t="n">
        <v>3</v>
      </c>
      <c r="G280" s="2"/>
      <c r="H280" s="4" t="s">
        <v>21</v>
      </c>
      <c r="I280" s="2" t="s">
        <v>1281</v>
      </c>
      <c r="J280" s="2" t="s">
        <v>1282</v>
      </c>
      <c r="K280" s="2" t="s">
        <v>1283</v>
      </c>
    </row>
    <row r="281" customFormat="false" ht="15" hidden="false" customHeight="false" outlineLevel="0" collapsed="false">
      <c r="A281" s="2" t="n">
        <v>280</v>
      </c>
      <c r="B281" s="2" t="s">
        <v>1279</v>
      </c>
      <c r="C281" s="2" t="s">
        <v>461</v>
      </c>
      <c r="D281" s="2" t="s">
        <v>20</v>
      </c>
      <c r="E281" s="2" t="s">
        <v>14</v>
      </c>
      <c r="F281" s="2" t="n">
        <v>1</v>
      </c>
      <c r="G281" s="2"/>
      <c r="H281" s="5" t="s">
        <v>45</v>
      </c>
      <c r="I281" s="2" t="s">
        <v>1284</v>
      </c>
      <c r="J281" s="2" t="s">
        <v>1285</v>
      </c>
      <c r="K281" s="2" t="s">
        <v>1286</v>
      </c>
    </row>
    <row r="282" customFormat="false" ht="15" hidden="false" customHeight="false" outlineLevel="0" collapsed="false">
      <c r="A282" s="2" t="n">
        <v>281</v>
      </c>
      <c r="B282" s="2" t="s">
        <v>1287</v>
      </c>
      <c r="C282" s="2" t="s">
        <v>1288</v>
      </c>
      <c r="D282" s="2" t="s">
        <v>13</v>
      </c>
      <c r="E282" s="2" t="s">
        <v>14</v>
      </c>
      <c r="F282" s="2" t="n">
        <v>1</v>
      </c>
      <c r="G282" s="2"/>
      <c r="H282" s="4" t="s">
        <v>21</v>
      </c>
      <c r="I282" s="2" t="s">
        <v>1289</v>
      </c>
      <c r="J282" s="2" t="s">
        <v>1290</v>
      </c>
      <c r="K282" s="2" t="s">
        <v>1291</v>
      </c>
    </row>
    <row r="283" customFormat="false" ht="15" hidden="false" customHeight="false" outlineLevel="0" collapsed="false">
      <c r="A283" s="2" t="n">
        <v>282</v>
      </c>
      <c r="B283" s="2" t="s">
        <v>1292</v>
      </c>
      <c r="C283" s="2" t="s">
        <v>1293</v>
      </c>
      <c r="D283" s="2" t="s">
        <v>20</v>
      </c>
      <c r="E283" s="2" t="s">
        <v>14</v>
      </c>
      <c r="F283" s="2" t="n">
        <v>1</v>
      </c>
      <c r="G283" s="2"/>
      <c r="H283" s="5" t="s">
        <v>45</v>
      </c>
      <c r="I283" s="2" t="s">
        <v>1294</v>
      </c>
      <c r="J283" s="2" t="s">
        <v>1295</v>
      </c>
      <c r="K283" s="2" t="s">
        <v>1296</v>
      </c>
    </row>
    <row r="284" customFormat="false" ht="15" hidden="false" customHeight="false" outlineLevel="0" collapsed="false">
      <c r="A284" s="2" t="n">
        <v>283</v>
      </c>
      <c r="B284" s="2" t="s">
        <v>1297</v>
      </c>
      <c r="C284" s="2" t="s">
        <v>1298</v>
      </c>
      <c r="D284" s="2" t="s">
        <v>20</v>
      </c>
      <c r="E284" s="2" t="s">
        <v>14</v>
      </c>
      <c r="F284" s="2" t="n">
        <v>1</v>
      </c>
      <c r="G284" s="2"/>
      <c r="H284" s="3" t="s">
        <v>15</v>
      </c>
      <c r="I284" s="2" t="s">
        <v>16</v>
      </c>
      <c r="J284" s="2" t="s">
        <v>1299</v>
      </c>
      <c r="K284" s="2"/>
    </row>
    <row r="285" customFormat="false" ht="15" hidden="false" customHeight="false" outlineLevel="0" collapsed="false">
      <c r="A285" s="2" t="n">
        <v>284</v>
      </c>
      <c r="B285" s="2" t="s">
        <v>1300</v>
      </c>
      <c r="C285" s="2" t="s">
        <v>332</v>
      </c>
      <c r="D285" s="2" t="s">
        <v>13</v>
      </c>
      <c r="E285" s="2" t="s">
        <v>14</v>
      </c>
      <c r="F285" s="2" t="n">
        <v>1</v>
      </c>
      <c r="G285" s="2"/>
      <c r="H285" s="3" t="s">
        <v>15</v>
      </c>
      <c r="I285" s="2" t="s">
        <v>1301</v>
      </c>
      <c r="J285" s="2" t="s">
        <v>1302</v>
      </c>
      <c r="K285" s="2" t="s">
        <v>1303</v>
      </c>
    </row>
    <row r="286" customFormat="false" ht="15" hidden="false" customHeight="false" outlineLevel="0" collapsed="false">
      <c r="A286" s="2" t="n">
        <v>285</v>
      </c>
      <c r="B286" s="2" t="s">
        <v>1300</v>
      </c>
      <c r="C286" s="2" t="s">
        <v>1304</v>
      </c>
      <c r="D286" s="2" t="s">
        <v>20</v>
      </c>
      <c r="E286" s="2" t="s">
        <v>14</v>
      </c>
      <c r="F286" s="2" t="n">
        <v>1</v>
      </c>
      <c r="G286" s="2"/>
      <c r="H286" s="3" t="s">
        <v>15</v>
      </c>
      <c r="I286" s="2" t="s">
        <v>343</v>
      </c>
      <c r="J286" s="2" t="s">
        <v>1305</v>
      </c>
      <c r="K286" s="2"/>
    </row>
    <row r="287" customFormat="false" ht="15" hidden="false" customHeight="false" outlineLevel="0" collapsed="false">
      <c r="A287" s="2" t="n">
        <v>286</v>
      </c>
      <c r="B287" s="2" t="s">
        <v>1306</v>
      </c>
      <c r="C287" s="2" t="s">
        <v>1307</v>
      </c>
      <c r="D287" s="2" t="s">
        <v>20</v>
      </c>
      <c r="E287" s="2" t="s">
        <v>14</v>
      </c>
      <c r="F287" s="2" t="n">
        <v>1</v>
      </c>
      <c r="G287" s="2"/>
      <c r="H287" s="3" t="s">
        <v>15</v>
      </c>
      <c r="I287" s="2" t="s">
        <v>1237</v>
      </c>
      <c r="J287" s="2" t="s">
        <v>1308</v>
      </c>
      <c r="K287" s="2"/>
    </row>
    <row r="288" customFormat="false" ht="15" hidden="false" customHeight="false" outlineLevel="0" collapsed="false">
      <c r="A288" s="2" t="n">
        <v>287</v>
      </c>
      <c r="B288" s="2" t="s">
        <v>1309</v>
      </c>
      <c r="C288" s="2" t="s">
        <v>175</v>
      </c>
      <c r="D288" s="2" t="s">
        <v>258</v>
      </c>
      <c r="E288" s="2" t="s">
        <v>43</v>
      </c>
      <c r="F288" s="2" t="n">
        <v>2</v>
      </c>
      <c r="G288" s="2" t="s">
        <v>1310</v>
      </c>
      <c r="H288" s="4" t="s">
        <v>21</v>
      </c>
      <c r="I288" s="2" t="s">
        <v>1311</v>
      </c>
      <c r="J288" s="2" t="s">
        <v>1312</v>
      </c>
      <c r="K288" s="2" t="s">
        <v>1313</v>
      </c>
    </row>
    <row r="289" customFormat="false" ht="15" hidden="false" customHeight="false" outlineLevel="0" collapsed="false">
      <c r="A289" s="2" t="n">
        <v>288</v>
      </c>
      <c r="B289" s="2" t="s">
        <v>1314</v>
      </c>
      <c r="C289" s="2" t="s">
        <v>1315</v>
      </c>
      <c r="D289" s="2" t="s">
        <v>61</v>
      </c>
      <c r="E289" s="2" t="s">
        <v>43</v>
      </c>
      <c r="F289" s="2" t="n">
        <v>1</v>
      </c>
      <c r="G289" s="2" t="s">
        <v>1316</v>
      </c>
      <c r="H289" s="4" t="s">
        <v>21</v>
      </c>
      <c r="I289" s="2" t="s">
        <v>1317</v>
      </c>
      <c r="J289" s="2" t="s">
        <v>1318</v>
      </c>
      <c r="K289" s="2" t="s">
        <v>1319</v>
      </c>
    </row>
    <row r="290" customFormat="false" ht="15" hidden="false" customHeight="false" outlineLevel="0" collapsed="false">
      <c r="A290" s="2" t="n">
        <v>289</v>
      </c>
      <c r="B290" s="2" t="s">
        <v>1320</v>
      </c>
      <c r="C290" s="2" t="s">
        <v>1321</v>
      </c>
      <c r="D290" s="2" t="s">
        <v>20</v>
      </c>
      <c r="E290" s="2" t="s">
        <v>14</v>
      </c>
      <c r="F290" s="2" t="n">
        <v>1</v>
      </c>
      <c r="G290" s="2"/>
      <c r="H290" s="3" t="s">
        <v>15</v>
      </c>
      <c r="I290" s="2" t="s">
        <v>1237</v>
      </c>
      <c r="J290" s="2" t="s">
        <v>1322</v>
      </c>
      <c r="K290" s="2"/>
    </row>
    <row r="291" customFormat="false" ht="15" hidden="false" customHeight="false" outlineLevel="0" collapsed="false">
      <c r="A291" s="2" t="n">
        <v>290</v>
      </c>
      <c r="B291" s="2" t="s">
        <v>1323</v>
      </c>
      <c r="C291" s="2" t="s">
        <v>1324</v>
      </c>
      <c r="D291" s="2" t="s">
        <v>13</v>
      </c>
      <c r="E291" s="2" t="s">
        <v>14</v>
      </c>
      <c r="F291" s="2" t="n">
        <v>2</v>
      </c>
      <c r="G291" s="2"/>
      <c r="H291" s="3" t="s">
        <v>15</v>
      </c>
      <c r="I291" s="2" t="s">
        <v>343</v>
      </c>
      <c r="J291" s="2" t="s">
        <v>1325</v>
      </c>
      <c r="K291" s="2"/>
    </row>
    <row r="292" customFormat="false" ht="15" hidden="false" customHeight="false" outlineLevel="0" collapsed="false">
      <c r="A292" s="2" t="n">
        <v>291</v>
      </c>
      <c r="B292" s="2" t="s">
        <v>1326</v>
      </c>
      <c r="C292" s="2" t="s">
        <v>319</v>
      </c>
      <c r="D292" s="2" t="s">
        <v>20</v>
      </c>
      <c r="E292" s="2" t="s">
        <v>14</v>
      </c>
      <c r="F292" s="2" t="n">
        <v>1</v>
      </c>
      <c r="G292" s="2"/>
      <c r="H292" s="3" t="s">
        <v>15</v>
      </c>
      <c r="I292" s="2" t="s">
        <v>1237</v>
      </c>
      <c r="J292" s="2" t="s">
        <v>1327</v>
      </c>
      <c r="K292" s="2"/>
    </row>
    <row r="293" customFormat="false" ht="15" hidden="false" customHeight="false" outlineLevel="0" collapsed="false">
      <c r="A293" s="2" t="n">
        <v>292</v>
      </c>
      <c r="B293" s="2" t="s">
        <v>1328</v>
      </c>
      <c r="C293" s="2" t="s">
        <v>1329</v>
      </c>
      <c r="D293" s="2" t="s">
        <v>13</v>
      </c>
      <c r="E293" s="2" t="s">
        <v>14</v>
      </c>
      <c r="F293" s="2" t="n">
        <v>2</v>
      </c>
      <c r="G293" s="2"/>
      <c r="H293" s="4" t="s">
        <v>21</v>
      </c>
      <c r="I293" s="2" t="s">
        <v>1330</v>
      </c>
      <c r="J293" s="2" t="s">
        <v>1331</v>
      </c>
      <c r="K293" s="2" t="s">
        <v>1332</v>
      </c>
    </row>
    <row r="294" customFormat="false" ht="15" hidden="false" customHeight="false" outlineLevel="0" collapsed="false">
      <c r="A294" s="2" t="n">
        <v>293</v>
      </c>
      <c r="B294" s="2" t="s">
        <v>1333</v>
      </c>
      <c r="C294" s="2" t="s">
        <v>1261</v>
      </c>
      <c r="D294" s="2" t="s">
        <v>61</v>
      </c>
      <c r="E294" s="2" t="s">
        <v>43</v>
      </c>
      <c r="F294" s="2" t="n">
        <v>1</v>
      </c>
      <c r="G294" s="2" t="s">
        <v>1334</v>
      </c>
      <c r="H294" s="3" t="s">
        <v>15</v>
      </c>
      <c r="I294" s="2" t="s">
        <v>1335</v>
      </c>
      <c r="J294" s="2" t="s">
        <v>1336</v>
      </c>
      <c r="K294" s="2" t="s">
        <v>1337</v>
      </c>
    </row>
    <row r="295" customFormat="false" ht="15" hidden="false" customHeight="false" outlineLevel="0" collapsed="false">
      <c r="A295" s="2" t="n">
        <v>294</v>
      </c>
      <c r="B295" s="2" t="s">
        <v>1338</v>
      </c>
      <c r="C295" s="2" t="s">
        <v>1339</v>
      </c>
      <c r="D295" s="2" t="s">
        <v>98</v>
      </c>
      <c r="E295" s="2" t="s">
        <v>14</v>
      </c>
      <c r="F295" s="2" t="n">
        <v>2</v>
      </c>
      <c r="G295" s="2"/>
      <c r="H295" s="3" t="s">
        <v>15</v>
      </c>
      <c r="I295" s="2" t="s">
        <v>1340</v>
      </c>
      <c r="J295" s="2" t="s">
        <v>1341</v>
      </c>
      <c r="K295" s="2" t="s">
        <v>1342</v>
      </c>
    </row>
    <row r="296" customFormat="false" ht="15" hidden="false" customHeight="false" outlineLevel="0" collapsed="false">
      <c r="A296" s="2" t="n">
        <v>295</v>
      </c>
      <c r="B296" s="2" t="s">
        <v>1343</v>
      </c>
      <c r="C296" s="2" t="s">
        <v>1344</v>
      </c>
      <c r="D296" s="2" t="s">
        <v>13</v>
      </c>
      <c r="E296" s="2" t="s">
        <v>14</v>
      </c>
      <c r="F296" s="2" t="n">
        <v>1</v>
      </c>
      <c r="G296" s="2"/>
      <c r="H296" s="4" t="s">
        <v>21</v>
      </c>
      <c r="I296" s="2" t="s">
        <v>1345</v>
      </c>
      <c r="J296" s="2" t="s">
        <v>1346</v>
      </c>
      <c r="K296" s="2" t="s">
        <v>1347</v>
      </c>
    </row>
    <row r="297" customFormat="false" ht="15" hidden="false" customHeight="false" outlineLevel="0" collapsed="false">
      <c r="A297" s="2" t="n">
        <v>296</v>
      </c>
      <c r="B297" s="2" t="s">
        <v>1348</v>
      </c>
      <c r="C297" s="2" t="s">
        <v>1349</v>
      </c>
      <c r="D297" s="2" t="s">
        <v>61</v>
      </c>
      <c r="E297" s="2" t="s">
        <v>43</v>
      </c>
      <c r="F297" s="2" t="n">
        <v>1</v>
      </c>
      <c r="G297" s="2" t="s">
        <v>1350</v>
      </c>
      <c r="H297" s="4" t="s">
        <v>21</v>
      </c>
      <c r="I297" s="2" t="s">
        <v>1351</v>
      </c>
      <c r="J297" s="2" t="s">
        <v>1352</v>
      </c>
      <c r="K297" s="2" t="s">
        <v>1353</v>
      </c>
    </row>
    <row r="298" customFormat="false" ht="15" hidden="false" customHeight="false" outlineLevel="0" collapsed="false">
      <c r="A298" s="2" t="n">
        <v>297</v>
      </c>
      <c r="B298" s="2" t="s">
        <v>1354</v>
      </c>
      <c r="C298" s="2" t="s">
        <v>1355</v>
      </c>
      <c r="D298" s="2" t="s">
        <v>13</v>
      </c>
      <c r="E298" s="2" t="s">
        <v>14</v>
      </c>
      <c r="F298" s="2" t="n">
        <v>5</v>
      </c>
      <c r="G298" s="2"/>
      <c r="H298" s="4" t="s">
        <v>21</v>
      </c>
      <c r="I298" s="2" t="s">
        <v>1356</v>
      </c>
      <c r="J298" s="2" t="s">
        <v>1357</v>
      </c>
      <c r="K298" s="2" t="s">
        <v>1358</v>
      </c>
    </row>
    <row r="299" customFormat="false" ht="15" hidden="false" customHeight="false" outlineLevel="0" collapsed="false">
      <c r="A299" s="2" t="n">
        <v>298</v>
      </c>
      <c r="B299" s="2" t="s">
        <v>1359</v>
      </c>
      <c r="C299" s="2" t="s">
        <v>591</v>
      </c>
      <c r="D299" s="2" t="s">
        <v>181</v>
      </c>
      <c r="E299" s="2" t="s">
        <v>182</v>
      </c>
      <c r="F299" s="2" t="n">
        <v>2</v>
      </c>
      <c r="G299" s="2" t="s">
        <v>1360</v>
      </c>
      <c r="H299" s="4" t="s">
        <v>21</v>
      </c>
      <c r="I299" s="2" t="s">
        <v>1361</v>
      </c>
      <c r="J299" s="2" t="s">
        <v>1362</v>
      </c>
      <c r="K299" s="2" t="s">
        <v>1363</v>
      </c>
    </row>
    <row r="300" customFormat="false" ht="15" hidden="false" customHeight="false" outlineLevel="0" collapsed="false">
      <c r="A300" s="2" t="n">
        <v>299</v>
      </c>
      <c r="B300" s="2" t="s">
        <v>1364</v>
      </c>
      <c r="C300" s="2" t="s">
        <v>1365</v>
      </c>
      <c r="D300" s="2" t="s">
        <v>42</v>
      </c>
      <c r="E300" s="2" t="s">
        <v>43</v>
      </c>
      <c r="F300" s="2" t="n">
        <v>1</v>
      </c>
      <c r="G300" s="2" t="s">
        <v>1366</v>
      </c>
      <c r="H300" s="5" t="s">
        <v>45</v>
      </c>
      <c r="I300" s="2" t="s">
        <v>1367</v>
      </c>
      <c r="J300" s="2" t="s">
        <v>1368</v>
      </c>
      <c r="K300" s="2" t="s">
        <v>1369</v>
      </c>
    </row>
    <row r="301" customFormat="false" ht="15" hidden="false" customHeight="false" outlineLevel="0" collapsed="false">
      <c r="A301" s="2" t="n">
        <v>300</v>
      </c>
      <c r="B301" s="2" t="s">
        <v>1370</v>
      </c>
      <c r="C301" s="2" t="s">
        <v>1371</v>
      </c>
      <c r="D301" s="2" t="s">
        <v>13</v>
      </c>
      <c r="E301" s="2" t="s">
        <v>14</v>
      </c>
      <c r="F301" s="2" t="n">
        <v>2</v>
      </c>
      <c r="G301" s="2"/>
      <c r="H301" s="3" t="s">
        <v>15</v>
      </c>
      <c r="I301" s="2" t="s">
        <v>1372</v>
      </c>
      <c r="J301" s="2" t="s">
        <v>1373</v>
      </c>
      <c r="K301" s="2" t="s">
        <v>1374</v>
      </c>
    </row>
    <row r="302" customFormat="false" ht="15" hidden="false" customHeight="false" outlineLevel="0" collapsed="false">
      <c r="A302" s="2" t="n">
        <v>301</v>
      </c>
      <c r="B302" s="2" t="s">
        <v>1375</v>
      </c>
      <c r="C302" s="2" t="s">
        <v>1376</v>
      </c>
      <c r="D302" s="2" t="s">
        <v>20</v>
      </c>
      <c r="E302" s="2" t="s">
        <v>14</v>
      </c>
      <c r="F302" s="2" t="n">
        <v>1</v>
      </c>
      <c r="G302" s="2"/>
      <c r="H302" s="5" t="s">
        <v>45</v>
      </c>
      <c r="I302" s="2" t="s">
        <v>1377</v>
      </c>
      <c r="J302" s="2" t="s">
        <v>1378</v>
      </c>
      <c r="K302" s="2" t="s">
        <v>1379</v>
      </c>
    </row>
    <row r="303" customFormat="false" ht="15" hidden="false" customHeight="false" outlineLevel="0" collapsed="false">
      <c r="A303" s="2" t="n">
        <v>302</v>
      </c>
      <c r="B303" s="2" t="s">
        <v>1375</v>
      </c>
      <c r="C303" s="2" t="s">
        <v>1380</v>
      </c>
      <c r="D303" s="2" t="s">
        <v>258</v>
      </c>
      <c r="E303" s="2" t="s">
        <v>43</v>
      </c>
      <c r="F303" s="2" t="n">
        <v>2</v>
      </c>
      <c r="G303" s="2" t="s">
        <v>1381</v>
      </c>
      <c r="H303" s="3" t="s">
        <v>15</v>
      </c>
      <c r="I303" s="2" t="s">
        <v>1382</v>
      </c>
      <c r="J303" s="2" t="s">
        <v>1383</v>
      </c>
      <c r="K303" s="2" t="s">
        <v>1384</v>
      </c>
    </row>
    <row r="304" customFormat="false" ht="15" hidden="false" customHeight="false" outlineLevel="0" collapsed="false">
      <c r="A304" s="2" t="n">
        <v>303</v>
      </c>
      <c r="B304" s="2" t="s">
        <v>1385</v>
      </c>
      <c r="C304" s="2" t="s">
        <v>1386</v>
      </c>
      <c r="D304" s="2" t="s">
        <v>61</v>
      </c>
      <c r="E304" s="2" t="s">
        <v>43</v>
      </c>
      <c r="F304" s="2" t="n">
        <v>1</v>
      </c>
      <c r="G304" s="2" t="s">
        <v>1387</v>
      </c>
      <c r="H304" s="3" t="s">
        <v>15</v>
      </c>
      <c r="I304" s="2" t="s">
        <v>1388</v>
      </c>
      <c r="J304" s="2" t="s">
        <v>1389</v>
      </c>
      <c r="K304" s="2"/>
    </row>
    <row r="305" customFormat="false" ht="15" hidden="false" customHeight="false" outlineLevel="0" collapsed="false">
      <c r="A305" s="2" t="n">
        <v>304</v>
      </c>
      <c r="B305" s="2" t="s">
        <v>1390</v>
      </c>
      <c r="C305" s="2" t="s">
        <v>1391</v>
      </c>
      <c r="D305" s="2" t="s">
        <v>13</v>
      </c>
      <c r="E305" s="2" t="s">
        <v>14</v>
      </c>
      <c r="F305" s="2" t="n">
        <v>1</v>
      </c>
      <c r="G305" s="2"/>
      <c r="H305" s="4" t="s">
        <v>21</v>
      </c>
      <c r="I305" s="2" t="s">
        <v>671</v>
      </c>
      <c r="J305" s="2" t="s">
        <v>1392</v>
      </c>
      <c r="K305" s="2" t="s">
        <v>1393</v>
      </c>
    </row>
    <row r="306" customFormat="false" ht="15" hidden="false" customHeight="false" outlineLevel="0" collapsed="false">
      <c r="A306" s="2" t="n">
        <v>305</v>
      </c>
      <c r="B306" s="2" t="s">
        <v>1394</v>
      </c>
      <c r="C306" s="2" t="s">
        <v>297</v>
      </c>
      <c r="D306" s="2" t="s">
        <v>61</v>
      </c>
      <c r="E306" s="2" t="s">
        <v>43</v>
      </c>
      <c r="F306" s="2" t="n">
        <v>1</v>
      </c>
      <c r="G306" s="2" t="s">
        <v>1395</v>
      </c>
      <c r="H306" s="4" t="s">
        <v>21</v>
      </c>
      <c r="I306" s="2" t="s">
        <v>1396</v>
      </c>
      <c r="J306" s="2" t="s">
        <v>1397</v>
      </c>
      <c r="K306" s="2" t="s">
        <v>1398</v>
      </c>
    </row>
    <row r="307" customFormat="false" ht="15" hidden="false" customHeight="false" outlineLevel="0" collapsed="false">
      <c r="A307" s="2" t="n">
        <v>306</v>
      </c>
      <c r="B307" s="2" t="s">
        <v>1399</v>
      </c>
      <c r="C307" s="2" t="s">
        <v>1400</v>
      </c>
      <c r="D307" s="2" t="s">
        <v>20</v>
      </c>
      <c r="E307" s="2" t="s">
        <v>14</v>
      </c>
      <c r="F307" s="2" t="n">
        <v>1</v>
      </c>
      <c r="G307" s="2"/>
      <c r="H307" s="5" t="s">
        <v>45</v>
      </c>
      <c r="I307" s="2" t="s">
        <v>1401</v>
      </c>
      <c r="J307" s="2" t="s">
        <v>1402</v>
      </c>
      <c r="K307" s="2" t="s">
        <v>1403</v>
      </c>
    </row>
    <row r="308" customFormat="false" ht="15" hidden="false" customHeight="false" outlineLevel="0" collapsed="false">
      <c r="A308" s="2" t="n">
        <v>307</v>
      </c>
      <c r="B308" s="2" t="s">
        <v>1404</v>
      </c>
      <c r="C308" s="2" t="s">
        <v>297</v>
      </c>
      <c r="D308" s="2" t="s">
        <v>13</v>
      </c>
      <c r="E308" s="2" t="s">
        <v>14</v>
      </c>
      <c r="F308" s="2" t="n">
        <v>1</v>
      </c>
      <c r="G308" s="2"/>
      <c r="H308" s="4" t="s">
        <v>21</v>
      </c>
      <c r="I308" s="2" t="s">
        <v>1405</v>
      </c>
      <c r="J308" s="2" t="s">
        <v>1406</v>
      </c>
      <c r="K308" s="2" t="s">
        <v>1407</v>
      </c>
    </row>
    <row r="309" customFormat="false" ht="15" hidden="false" customHeight="false" outlineLevel="0" collapsed="false">
      <c r="A309" s="2" t="n">
        <v>308</v>
      </c>
      <c r="B309" s="2" t="s">
        <v>1408</v>
      </c>
      <c r="C309" s="2" t="s">
        <v>1409</v>
      </c>
      <c r="D309" s="2" t="s">
        <v>13</v>
      </c>
      <c r="E309" s="2" t="s">
        <v>14</v>
      </c>
      <c r="F309" s="2" t="n">
        <v>1</v>
      </c>
      <c r="G309" s="2"/>
      <c r="H309" s="4" t="s">
        <v>21</v>
      </c>
      <c r="I309" s="2" t="s">
        <v>898</v>
      </c>
      <c r="J309" s="2" t="s">
        <v>1410</v>
      </c>
      <c r="K309" s="2" t="s">
        <v>1411</v>
      </c>
    </row>
    <row r="310" customFormat="false" ht="15" hidden="false" customHeight="false" outlineLevel="0" collapsed="false">
      <c r="A310" s="2" t="n">
        <v>309</v>
      </c>
      <c r="B310" s="2" t="s">
        <v>1412</v>
      </c>
      <c r="C310" s="2" t="s">
        <v>1413</v>
      </c>
      <c r="D310" s="2" t="s">
        <v>42</v>
      </c>
      <c r="E310" s="2" t="s">
        <v>43</v>
      </c>
      <c r="F310" s="2" t="n">
        <v>1</v>
      </c>
      <c r="G310" s="2" t="s">
        <v>1414</v>
      </c>
      <c r="H310" s="4" t="s">
        <v>21</v>
      </c>
      <c r="I310" s="2" t="s">
        <v>1415</v>
      </c>
      <c r="J310" s="2" t="s">
        <v>1416</v>
      </c>
      <c r="K310" s="2" t="s">
        <v>1417</v>
      </c>
    </row>
    <row r="311" customFormat="false" ht="15" hidden="false" customHeight="false" outlineLevel="0" collapsed="false">
      <c r="A311" s="2" t="n">
        <v>310</v>
      </c>
      <c r="B311" s="2" t="s">
        <v>1418</v>
      </c>
      <c r="C311" s="2" t="s">
        <v>1419</v>
      </c>
      <c r="D311" s="2" t="s">
        <v>20</v>
      </c>
      <c r="E311" s="2" t="s">
        <v>14</v>
      </c>
      <c r="F311" s="2" t="n">
        <v>1</v>
      </c>
      <c r="G311" s="2"/>
      <c r="H311" s="5" t="s">
        <v>45</v>
      </c>
      <c r="I311" s="2" t="s">
        <v>1420</v>
      </c>
      <c r="J311" s="2" t="s">
        <v>1421</v>
      </c>
      <c r="K311" s="2" t="s">
        <v>1422</v>
      </c>
    </row>
    <row r="312" customFormat="false" ht="15" hidden="false" customHeight="false" outlineLevel="0" collapsed="false">
      <c r="A312" s="2" t="n">
        <v>311</v>
      </c>
      <c r="B312" s="2" t="s">
        <v>1423</v>
      </c>
      <c r="C312" s="2" t="s">
        <v>272</v>
      </c>
      <c r="D312" s="2" t="s">
        <v>98</v>
      </c>
      <c r="E312" s="2" t="s">
        <v>14</v>
      </c>
      <c r="F312" s="2" t="n">
        <v>2</v>
      </c>
      <c r="G312" s="2"/>
      <c r="H312" s="4" t="s">
        <v>21</v>
      </c>
      <c r="I312" s="2" t="s">
        <v>1424</v>
      </c>
      <c r="J312" s="2" t="s">
        <v>1425</v>
      </c>
      <c r="K312" s="2" t="s">
        <v>1426</v>
      </c>
    </row>
    <row r="313" customFormat="false" ht="15" hidden="false" customHeight="false" outlineLevel="0" collapsed="false">
      <c r="A313" s="2" t="n">
        <v>312</v>
      </c>
      <c r="B313" s="2" t="s">
        <v>1427</v>
      </c>
      <c r="C313" s="2" t="s">
        <v>766</v>
      </c>
      <c r="D313" s="2" t="s">
        <v>13</v>
      </c>
      <c r="E313" s="2" t="s">
        <v>14</v>
      </c>
      <c r="F313" s="2" t="n">
        <v>1</v>
      </c>
      <c r="G313" s="2"/>
      <c r="H313" s="4" t="s">
        <v>21</v>
      </c>
      <c r="I313" s="2" t="s">
        <v>1428</v>
      </c>
      <c r="J313" s="2" t="s">
        <v>1429</v>
      </c>
      <c r="K313" s="2" t="s">
        <v>1430</v>
      </c>
    </row>
    <row r="314" customFormat="false" ht="15" hidden="false" customHeight="false" outlineLevel="0" collapsed="false">
      <c r="A314" s="2" t="n">
        <v>313</v>
      </c>
      <c r="B314" s="2" t="s">
        <v>1431</v>
      </c>
      <c r="C314" s="2" t="s">
        <v>1432</v>
      </c>
      <c r="D314" s="2" t="s">
        <v>13</v>
      </c>
      <c r="E314" s="2" t="s">
        <v>14</v>
      </c>
      <c r="F314" s="2" t="n">
        <v>1</v>
      </c>
      <c r="G314" s="2"/>
      <c r="H314" s="4" t="s">
        <v>21</v>
      </c>
      <c r="I314" s="2" t="s">
        <v>119</v>
      </c>
      <c r="J314" s="2" t="s">
        <v>1433</v>
      </c>
      <c r="K314" s="2" t="s">
        <v>1434</v>
      </c>
    </row>
    <row r="315" customFormat="false" ht="15" hidden="false" customHeight="false" outlineLevel="0" collapsed="false">
      <c r="A315" s="2" t="n">
        <v>314</v>
      </c>
      <c r="B315" s="2" t="s">
        <v>1435</v>
      </c>
      <c r="C315" s="2" t="s">
        <v>1436</v>
      </c>
      <c r="D315" s="2" t="s">
        <v>13</v>
      </c>
      <c r="E315" s="2" t="s">
        <v>14</v>
      </c>
      <c r="F315" s="2" t="n">
        <v>1</v>
      </c>
      <c r="G315" s="2"/>
      <c r="H315" s="3" t="s">
        <v>15</v>
      </c>
      <c r="I315" s="2" t="s">
        <v>343</v>
      </c>
      <c r="J315" s="2" t="s">
        <v>1437</v>
      </c>
      <c r="K315" s="2"/>
    </row>
    <row r="316" customFormat="false" ht="15" hidden="false" customHeight="false" outlineLevel="0" collapsed="false">
      <c r="A316" s="2" t="n">
        <v>315</v>
      </c>
      <c r="B316" s="2" t="s">
        <v>1435</v>
      </c>
      <c r="C316" s="2" t="s">
        <v>1438</v>
      </c>
      <c r="D316" s="2" t="s">
        <v>61</v>
      </c>
      <c r="E316" s="2" t="s">
        <v>43</v>
      </c>
      <c r="F316" s="2" t="n">
        <v>2</v>
      </c>
      <c r="G316" s="2" t="s">
        <v>1439</v>
      </c>
      <c r="H316" s="4" t="s">
        <v>21</v>
      </c>
      <c r="I316" s="2" t="s">
        <v>1440</v>
      </c>
      <c r="J316" s="2" t="s">
        <v>1441</v>
      </c>
      <c r="K316" s="2" t="s">
        <v>1442</v>
      </c>
    </row>
    <row r="317" customFormat="false" ht="15" hidden="false" customHeight="false" outlineLevel="0" collapsed="false">
      <c r="A317" s="2" t="n">
        <v>316</v>
      </c>
      <c r="B317" s="2" t="s">
        <v>1435</v>
      </c>
      <c r="C317" s="2" t="s">
        <v>1443</v>
      </c>
      <c r="D317" s="2" t="s">
        <v>13</v>
      </c>
      <c r="E317" s="2" t="s">
        <v>14</v>
      </c>
      <c r="F317" s="2" t="n">
        <v>1</v>
      </c>
      <c r="G317" s="2"/>
      <c r="H317" s="3" t="s">
        <v>15</v>
      </c>
      <c r="I317" s="2" t="s">
        <v>343</v>
      </c>
      <c r="J317" s="2" t="s">
        <v>1444</v>
      </c>
      <c r="K317" s="2"/>
    </row>
    <row r="318" customFormat="false" ht="15" hidden="false" customHeight="false" outlineLevel="0" collapsed="false">
      <c r="A318" s="2" t="n">
        <v>317</v>
      </c>
      <c r="B318" s="2" t="s">
        <v>1445</v>
      </c>
      <c r="C318" s="2" t="s">
        <v>1446</v>
      </c>
      <c r="D318" s="2" t="s">
        <v>13</v>
      </c>
      <c r="E318" s="2" t="s">
        <v>14</v>
      </c>
      <c r="F318" s="2" t="n">
        <v>1</v>
      </c>
      <c r="G318" s="2"/>
      <c r="H318" s="3" t="s">
        <v>15</v>
      </c>
      <c r="I318" s="2" t="s">
        <v>1447</v>
      </c>
      <c r="J318" s="2" t="s">
        <v>1448</v>
      </c>
      <c r="K318" s="2" t="s">
        <v>1449</v>
      </c>
    </row>
    <row r="319" customFormat="false" ht="15" hidden="false" customHeight="false" outlineLevel="0" collapsed="false">
      <c r="A319" s="2" t="n">
        <v>318</v>
      </c>
      <c r="B319" s="2" t="s">
        <v>1450</v>
      </c>
      <c r="C319" s="2" t="s">
        <v>1451</v>
      </c>
      <c r="D319" s="2" t="s">
        <v>42</v>
      </c>
      <c r="E319" s="2" t="s">
        <v>43</v>
      </c>
      <c r="F319" s="2" t="n">
        <v>1</v>
      </c>
      <c r="G319" s="2" t="s">
        <v>1452</v>
      </c>
      <c r="H319" s="4" t="s">
        <v>21</v>
      </c>
      <c r="I319" s="2" t="s">
        <v>1453</v>
      </c>
      <c r="J319" s="2" t="s">
        <v>1454</v>
      </c>
      <c r="K319" s="2" t="s">
        <v>1455</v>
      </c>
    </row>
    <row r="320" customFormat="false" ht="15" hidden="false" customHeight="false" outlineLevel="0" collapsed="false">
      <c r="A320" s="2" t="n">
        <v>319</v>
      </c>
      <c r="B320" s="2" t="s">
        <v>1456</v>
      </c>
      <c r="C320" s="2" t="s">
        <v>1457</v>
      </c>
      <c r="D320" s="2" t="s">
        <v>181</v>
      </c>
      <c r="E320" s="2" t="s">
        <v>182</v>
      </c>
      <c r="F320" s="2" t="n">
        <v>3</v>
      </c>
      <c r="G320" s="2" t="s">
        <v>1458</v>
      </c>
      <c r="H320" s="4" t="s">
        <v>21</v>
      </c>
      <c r="I320" s="2" t="s">
        <v>1459</v>
      </c>
      <c r="J320" s="2" t="s">
        <v>1460</v>
      </c>
      <c r="K320" s="2" t="s">
        <v>1461</v>
      </c>
    </row>
    <row r="321" customFormat="false" ht="15" hidden="false" customHeight="false" outlineLevel="0" collapsed="false">
      <c r="A321" s="2" t="n">
        <v>320</v>
      </c>
      <c r="B321" s="2" t="s">
        <v>1462</v>
      </c>
      <c r="C321" s="2" t="s">
        <v>1463</v>
      </c>
      <c r="D321" s="2" t="s">
        <v>13</v>
      </c>
      <c r="E321" s="2" t="s">
        <v>14</v>
      </c>
      <c r="F321" s="2" t="n">
        <v>1</v>
      </c>
      <c r="G321" s="2"/>
      <c r="H321" s="4" t="s">
        <v>21</v>
      </c>
      <c r="I321" s="2" t="s">
        <v>1464</v>
      </c>
      <c r="J321" s="2" t="s">
        <v>1465</v>
      </c>
      <c r="K321" s="2" t="s">
        <v>1466</v>
      </c>
    </row>
    <row r="322" customFormat="false" ht="15" hidden="false" customHeight="false" outlineLevel="0" collapsed="false">
      <c r="A322" s="2" t="n">
        <v>321</v>
      </c>
      <c r="B322" s="2" t="s">
        <v>1467</v>
      </c>
      <c r="C322" s="2" t="s">
        <v>1468</v>
      </c>
      <c r="D322" s="2" t="s">
        <v>98</v>
      </c>
      <c r="E322" s="2" t="s">
        <v>14</v>
      </c>
      <c r="F322" s="2" t="n">
        <v>4</v>
      </c>
      <c r="G322" s="2"/>
      <c r="H322" s="4" t="s">
        <v>21</v>
      </c>
      <c r="I322" s="2" t="s">
        <v>1469</v>
      </c>
      <c r="J322" s="2" t="s">
        <v>1470</v>
      </c>
      <c r="K322" s="2" t="s">
        <v>1471</v>
      </c>
    </row>
    <row r="323" customFormat="false" ht="15" hidden="false" customHeight="false" outlineLevel="0" collapsed="false">
      <c r="A323" s="2" t="n">
        <v>322</v>
      </c>
      <c r="B323" s="2" t="s">
        <v>1467</v>
      </c>
      <c r="C323" s="2" t="s">
        <v>1472</v>
      </c>
      <c r="D323" s="2" t="s">
        <v>98</v>
      </c>
      <c r="E323" s="2" t="s">
        <v>14</v>
      </c>
      <c r="F323" s="2" t="n">
        <v>2</v>
      </c>
      <c r="G323" s="2"/>
      <c r="H323" s="4" t="s">
        <v>21</v>
      </c>
      <c r="I323" s="2" t="s">
        <v>1469</v>
      </c>
      <c r="J323" s="2" t="s">
        <v>1473</v>
      </c>
      <c r="K323" s="2" t="s">
        <v>1471</v>
      </c>
    </row>
    <row r="324" customFormat="false" ht="15" hidden="false" customHeight="false" outlineLevel="0" collapsed="false">
      <c r="A324" s="2" t="n">
        <v>323</v>
      </c>
      <c r="B324" s="2" t="s">
        <v>1474</v>
      </c>
      <c r="C324" s="2" t="s">
        <v>1475</v>
      </c>
      <c r="D324" s="2" t="s">
        <v>42</v>
      </c>
      <c r="E324" s="2" t="s">
        <v>43</v>
      </c>
      <c r="F324" s="2" t="n">
        <v>1</v>
      </c>
      <c r="G324" s="2" t="s">
        <v>1476</v>
      </c>
      <c r="H324" s="5" t="s">
        <v>45</v>
      </c>
      <c r="I324" s="2" t="s">
        <v>1477</v>
      </c>
      <c r="J324" s="2" t="s">
        <v>47</v>
      </c>
      <c r="K324" s="2"/>
    </row>
    <row r="325" customFormat="false" ht="15" hidden="false" customHeight="false" outlineLevel="0" collapsed="false">
      <c r="A325" s="2" t="n">
        <v>324</v>
      </c>
      <c r="B325" s="2" t="s">
        <v>1199</v>
      </c>
      <c r="C325" s="2" t="s">
        <v>1478</v>
      </c>
      <c r="D325" s="2" t="s">
        <v>13</v>
      </c>
      <c r="E325" s="2" t="s">
        <v>14</v>
      </c>
      <c r="F325" s="2" t="n">
        <v>1</v>
      </c>
      <c r="G325" s="2"/>
      <c r="H325" s="3" t="s">
        <v>15</v>
      </c>
      <c r="I325" s="2" t="s">
        <v>343</v>
      </c>
      <c r="J325" s="2" t="s">
        <v>1479</v>
      </c>
      <c r="K325" s="2" t="s">
        <v>1480</v>
      </c>
    </row>
    <row r="326" customFormat="false" ht="15" hidden="false" customHeight="false" outlineLevel="0" collapsed="false">
      <c r="A326" s="2" t="n">
        <v>325</v>
      </c>
      <c r="B326" s="2" t="s">
        <v>1199</v>
      </c>
      <c r="C326" s="2" t="s">
        <v>1481</v>
      </c>
      <c r="D326" s="2" t="s">
        <v>13</v>
      </c>
      <c r="E326" s="2" t="s">
        <v>14</v>
      </c>
      <c r="F326" s="2" t="n">
        <v>1</v>
      </c>
      <c r="G326" s="2"/>
      <c r="H326" s="3" t="s">
        <v>15</v>
      </c>
      <c r="I326" s="2" t="s">
        <v>1482</v>
      </c>
      <c r="J326" s="2" t="s">
        <v>1483</v>
      </c>
      <c r="K326" s="2" t="s">
        <v>1484</v>
      </c>
    </row>
    <row r="327" customFormat="false" ht="15" hidden="false" customHeight="false" outlineLevel="0" collapsed="false">
      <c r="A327" s="2" t="n">
        <v>326</v>
      </c>
      <c r="B327" s="2" t="s">
        <v>1199</v>
      </c>
      <c r="C327" s="2" t="s">
        <v>1485</v>
      </c>
      <c r="D327" s="2" t="s">
        <v>61</v>
      </c>
      <c r="E327" s="2" t="s">
        <v>43</v>
      </c>
      <c r="F327" s="2" t="n">
        <v>3</v>
      </c>
      <c r="G327" s="2" t="s">
        <v>1486</v>
      </c>
      <c r="H327" s="3" t="s">
        <v>15</v>
      </c>
      <c r="I327" s="2" t="s">
        <v>1487</v>
      </c>
      <c r="J327" s="2" t="s">
        <v>1488</v>
      </c>
      <c r="K327" s="2" t="s">
        <v>1489</v>
      </c>
    </row>
    <row r="328" customFormat="false" ht="15" hidden="false" customHeight="false" outlineLevel="0" collapsed="false">
      <c r="A328" s="2" t="n">
        <v>327</v>
      </c>
      <c r="B328" s="2" t="s">
        <v>1199</v>
      </c>
      <c r="C328" s="2" t="s">
        <v>1490</v>
      </c>
      <c r="D328" s="2" t="s">
        <v>61</v>
      </c>
      <c r="E328" s="2" t="s">
        <v>43</v>
      </c>
      <c r="F328" s="2" t="n">
        <v>1</v>
      </c>
      <c r="G328" s="2" t="s">
        <v>1491</v>
      </c>
      <c r="H328" s="3" t="s">
        <v>15</v>
      </c>
      <c r="I328" s="2" t="s">
        <v>1492</v>
      </c>
      <c r="J328" s="2" t="s">
        <v>1493</v>
      </c>
      <c r="K328" s="2" t="s">
        <v>1494</v>
      </c>
    </row>
    <row r="329" customFormat="false" ht="15" hidden="false" customHeight="false" outlineLevel="0" collapsed="false">
      <c r="A329" s="2" t="n">
        <v>328</v>
      </c>
      <c r="B329" s="2" t="s">
        <v>1199</v>
      </c>
      <c r="C329" s="2" t="s">
        <v>1495</v>
      </c>
      <c r="D329" s="2" t="s">
        <v>13</v>
      </c>
      <c r="E329" s="2" t="s">
        <v>14</v>
      </c>
      <c r="F329" s="2" t="n">
        <v>2</v>
      </c>
      <c r="G329" s="2"/>
      <c r="H329" s="4" t="s">
        <v>21</v>
      </c>
      <c r="I329" s="2" t="s">
        <v>1496</v>
      </c>
      <c r="J329" s="2" t="s">
        <v>1497</v>
      </c>
      <c r="K329" s="2" t="s">
        <v>1498</v>
      </c>
    </row>
    <row r="330" customFormat="false" ht="15" hidden="false" customHeight="false" outlineLevel="0" collapsed="false">
      <c r="A330" s="2" t="n">
        <v>329</v>
      </c>
      <c r="B330" s="2" t="s">
        <v>1199</v>
      </c>
      <c r="C330" s="2" t="s">
        <v>1499</v>
      </c>
      <c r="D330" s="2" t="s">
        <v>98</v>
      </c>
      <c r="E330" s="2" t="s">
        <v>14</v>
      </c>
      <c r="F330" s="2" t="n">
        <v>3</v>
      </c>
      <c r="G330" s="2"/>
      <c r="H330" s="4" t="s">
        <v>21</v>
      </c>
      <c r="I330" s="2" t="s">
        <v>1500</v>
      </c>
      <c r="J330" s="2" t="s">
        <v>1501</v>
      </c>
      <c r="K330" s="2" t="s">
        <v>1502</v>
      </c>
    </row>
    <row r="331" customFormat="false" ht="15" hidden="false" customHeight="false" outlineLevel="0" collapsed="false">
      <c r="A331" s="2" t="n">
        <v>330</v>
      </c>
      <c r="B331" s="2" t="s">
        <v>1199</v>
      </c>
      <c r="C331" s="2" t="s">
        <v>1503</v>
      </c>
      <c r="D331" s="2" t="s">
        <v>20</v>
      </c>
      <c r="E331" s="2" t="s">
        <v>14</v>
      </c>
      <c r="F331" s="2" t="n">
        <v>1</v>
      </c>
      <c r="G331" s="2"/>
      <c r="H331" s="5" t="s">
        <v>45</v>
      </c>
      <c r="I331" s="2" t="s">
        <v>1504</v>
      </c>
      <c r="J331" s="2" t="s">
        <v>1505</v>
      </c>
      <c r="K331" s="2" t="s">
        <v>1506</v>
      </c>
    </row>
    <row r="332" customFormat="false" ht="15" hidden="false" customHeight="false" outlineLevel="0" collapsed="false">
      <c r="A332" s="2" t="n">
        <v>331</v>
      </c>
      <c r="B332" s="2" t="s">
        <v>1199</v>
      </c>
      <c r="C332" s="2" t="s">
        <v>1507</v>
      </c>
      <c r="D332" s="2" t="s">
        <v>258</v>
      </c>
      <c r="E332" s="2" t="s">
        <v>43</v>
      </c>
      <c r="F332" s="2" t="n">
        <v>3</v>
      </c>
      <c r="G332" s="2" t="s">
        <v>1508</v>
      </c>
      <c r="H332" s="4" t="s">
        <v>21</v>
      </c>
      <c r="I332" s="2" t="s">
        <v>1509</v>
      </c>
      <c r="J332" s="2" t="s">
        <v>1510</v>
      </c>
      <c r="K332" s="2" t="s">
        <v>1511</v>
      </c>
    </row>
    <row r="333" customFormat="false" ht="15" hidden="false" customHeight="false" outlineLevel="0" collapsed="false">
      <c r="A333" s="2" t="n">
        <v>332</v>
      </c>
      <c r="B333" s="2" t="s">
        <v>1512</v>
      </c>
      <c r="C333" s="2" t="s">
        <v>1513</v>
      </c>
      <c r="D333" s="2" t="s">
        <v>61</v>
      </c>
      <c r="E333" s="2" t="s">
        <v>43</v>
      </c>
      <c r="F333" s="2" t="n">
        <v>1</v>
      </c>
      <c r="G333" s="2" t="s">
        <v>1514</v>
      </c>
      <c r="H333" s="3" t="s">
        <v>15</v>
      </c>
      <c r="I333" s="2" t="s">
        <v>16</v>
      </c>
      <c r="J333" s="2" t="s">
        <v>1515</v>
      </c>
      <c r="K333" s="2"/>
    </row>
    <row r="334" customFormat="false" ht="15" hidden="false" customHeight="false" outlineLevel="0" collapsed="false">
      <c r="A334" s="2" t="n">
        <v>333</v>
      </c>
      <c r="B334" s="2" t="s">
        <v>1516</v>
      </c>
      <c r="C334" s="2" t="s">
        <v>1517</v>
      </c>
      <c r="D334" s="2" t="s">
        <v>61</v>
      </c>
      <c r="E334" s="2" t="s">
        <v>43</v>
      </c>
      <c r="F334" s="2" t="n">
        <v>1</v>
      </c>
      <c r="G334" s="2" t="s">
        <v>1518</v>
      </c>
      <c r="H334" s="3" t="s">
        <v>15</v>
      </c>
      <c r="I334" s="2" t="s">
        <v>1519</v>
      </c>
      <c r="J334" s="2" t="s">
        <v>1520</v>
      </c>
      <c r="K334" s="2"/>
    </row>
    <row r="335" customFormat="false" ht="15" hidden="false" customHeight="false" outlineLevel="0" collapsed="false">
      <c r="A335" s="2" t="n">
        <v>334</v>
      </c>
      <c r="B335" s="2" t="s">
        <v>1516</v>
      </c>
      <c r="C335" s="2" t="s">
        <v>1521</v>
      </c>
      <c r="D335" s="2" t="s">
        <v>42</v>
      </c>
      <c r="E335" s="2" t="s">
        <v>43</v>
      </c>
      <c r="F335" s="2" t="n">
        <v>2</v>
      </c>
      <c r="G335" s="2" t="s">
        <v>1522</v>
      </c>
      <c r="H335" s="3" t="s">
        <v>15</v>
      </c>
      <c r="I335" s="2" t="s">
        <v>1523</v>
      </c>
      <c r="J335" s="2" t="s">
        <v>1524</v>
      </c>
      <c r="K335" s="2" t="s">
        <v>1525</v>
      </c>
    </row>
    <row r="336" customFormat="false" ht="15" hidden="false" customHeight="false" outlineLevel="0" collapsed="false">
      <c r="A336" s="2" t="n">
        <v>335</v>
      </c>
      <c r="B336" s="2" t="s">
        <v>1526</v>
      </c>
      <c r="C336" s="2" t="s">
        <v>481</v>
      </c>
      <c r="D336" s="2" t="s">
        <v>13</v>
      </c>
      <c r="E336" s="2" t="s">
        <v>14</v>
      </c>
      <c r="F336" s="2" t="n">
        <v>4</v>
      </c>
      <c r="G336" s="2"/>
      <c r="H336" s="4" t="s">
        <v>21</v>
      </c>
      <c r="I336" s="2" t="s">
        <v>253</v>
      </c>
      <c r="J336" s="2" t="s">
        <v>1527</v>
      </c>
      <c r="K336" s="2" t="s">
        <v>1528</v>
      </c>
    </row>
    <row r="337" customFormat="false" ht="15" hidden="false" customHeight="false" outlineLevel="0" collapsed="false">
      <c r="A337" s="2" t="n">
        <v>336</v>
      </c>
      <c r="B337" s="2" t="s">
        <v>1529</v>
      </c>
      <c r="C337" s="2" t="s">
        <v>841</v>
      </c>
      <c r="D337" s="2" t="s">
        <v>13</v>
      </c>
      <c r="E337" s="2" t="s">
        <v>14</v>
      </c>
      <c r="F337" s="2" t="n">
        <v>2</v>
      </c>
      <c r="G337" s="2"/>
      <c r="H337" s="3" t="s">
        <v>15</v>
      </c>
      <c r="I337" s="2" t="s">
        <v>1530</v>
      </c>
      <c r="J337" s="2" t="s">
        <v>1531</v>
      </c>
      <c r="K337" s="2" t="s">
        <v>1532</v>
      </c>
    </row>
    <row r="338" customFormat="false" ht="15" hidden="false" customHeight="false" outlineLevel="0" collapsed="false">
      <c r="A338" s="2" t="n">
        <v>337</v>
      </c>
      <c r="B338" s="2" t="s">
        <v>1533</v>
      </c>
      <c r="C338" s="2" t="s">
        <v>1534</v>
      </c>
      <c r="D338" s="2" t="s">
        <v>20</v>
      </c>
      <c r="E338" s="2" t="s">
        <v>14</v>
      </c>
      <c r="F338" s="2" t="n">
        <v>1</v>
      </c>
      <c r="G338" s="2"/>
      <c r="H338" s="3" t="s">
        <v>15</v>
      </c>
      <c r="I338" s="2" t="s">
        <v>343</v>
      </c>
      <c r="J338" s="2" t="s">
        <v>1535</v>
      </c>
      <c r="K338" s="2"/>
    </row>
    <row r="339" customFormat="false" ht="15" hidden="false" customHeight="false" outlineLevel="0" collapsed="false">
      <c r="A339" s="2" t="n">
        <v>338</v>
      </c>
      <c r="B339" s="2" t="s">
        <v>1533</v>
      </c>
      <c r="C339" s="2" t="s">
        <v>1536</v>
      </c>
      <c r="D339" s="2" t="s">
        <v>20</v>
      </c>
      <c r="E339" s="2" t="s">
        <v>14</v>
      </c>
      <c r="F339" s="2" t="n">
        <v>1</v>
      </c>
      <c r="G339" s="2"/>
      <c r="H339" s="3" t="s">
        <v>15</v>
      </c>
      <c r="I339" s="2" t="s">
        <v>343</v>
      </c>
      <c r="J339" s="2" t="s">
        <v>1537</v>
      </c>
      <c r="K339" s="2"/>
    </row>
    <row r="340" customFormat="false" ht="15" hidden="false" customHeight="false" outlineLevel="0" collapsed="false">
      <c r="A340" s="2" t="n">
        <v>339</v>
      </c>
      <c r="B340" s="2" t="s">
        <v>1533</v>
      </c>
      <c r="C340" s="2" t="s">
        <v>1124</v>
      </c>
      <c r="D340" s="2" t="s">
        <v>20</v>
      </c>
      <c r="E340" s="2" t="s">
        <v>14</v>
      </c>
      <c r="F340" s="2" t="n">
        <v>1</v>
      </c>
      <c r="G340" s="2"/>
      <c r="H340" s="3" t="s">
        <v>15</v>
      </c>
      <c r="I340" s="2" t="s">
        <v>343</v>
      </c>
      <c r="J340" s="2" t="s">
        <v>1538</v>
      </c>
      <c r="K340" s="2"/>
    </row>
    <row r="341" customFormat="false" ht="15" hidden="false" customHeight="false" outlineLevel="0" collapsed="false">
      <c r="A341" s="2" t="n">
        <v>340</v>
      </c>
      <c r="B341" s="2" t="s">
        <v>1533</v>
      </c>
      <c r="C341" s="2" t="s">
        <v>1539</v>
      </c>
      <c r="D341" s="2" t="s">
        <v>13</v>
      </c>
      <c r="E341" s="2" t="s">
        <v>14</v>
      </c>
      <c r="F341" s="2" t="n">
        <v>3</v>
      </c>
      <c r="G341" s="2"/>
      <c r="H341" s="4" t="s">
        <v>21</v>
      </c>
      <c r="I341" s="2" t="s">
        <v>1540</v>
      </c>
      <c r="J341" s="2" t="s">
        <v>1541</v>
      </c>
      <c r="K341" s="2" t="s">
        <v>1542</v>
      </c>
    </row>
    <row r="342" customFormat="false" ht="15" hidden="false" customHeight="false" outlineLevel="0" collapsed="false">
      <c r="A342" s="2" t="n">
        <v>341</v>
      </c>
      <c r="B342" s="2" t="s">
        <v>1543</v>
      </c>
      <c r="C342" s="2" t="s">
        <v>407</v>
      </c>
      <c r="D342" s="2" t="s">
        <v>13</v>
      </c>
      <c r="E342" s="2" t="s">
        <v>14</v>
      </c>
      <c r="F342" s="2" t="n">
        <v>1</v>
      </c>
      <c r="G342" s="2"/>
      <c r="H342" s="3" t="s">
        <v>15</v>
      </c>
      <c r="I342" s="2" t="s">
        <v>1530</v>
      </c>
      <c r="J342" s="2" t="s">
        <v>1544</v>
      </c>
      <c r="K342" s="2" t="s">
        <v>1545</v>
      </c>
    </row>
    <row r="343" customFormat="false" ht="15" hidden="false" customHeight="false" outlineLevel="0" collapsed="false">
      <c r="A343" s="2" t="n">
        <v>342</v>
      </c>
      <c r="B343" s="2" t="s">
        <v>1546</v>
      </c>
      <c r="C343" s="2" t="s">
        <v>843</v>
      </c>
      <c r="D343" s="2" t="s">
        <v>13</v>
      </c>
      <c r="E343" s="2" t="s">
        <v>14</v>
      </c>
      <c r="F343" s="2" t="n">
        <v>1</v>
      </c>
      <c r="G343" s="2"/>
      <c r="H343" s="3" t="s">
        <v>15</v>
      </c>
      <c r="I343" s="2" t="s">
        <v>1547</v>
      </c>
      <c r="J343" s="2" t="s">
        <v>1548</v>
      </c>
      <c r="K343" s="2" t="s">
        <v>1549</v>
      </c>
    </row>
    <row r="344" customFormat="false" ht="15" hidden="false" customHeight="false" outlineLevel="0" collapsed="false">
      <c r="A344" s="2" t="n">
        <v>343</v>
      </c>
      <c r="B344" s="2" t="s">
        <v>1550</v>
      </c>
      <c r="C344" s="2" t="s">
        <v>1075</v>
      </c>
      <c r="D344" s="2" t="s">
        <v>61</v>
      </c>
      <c r="E344" s="2" t="s">
        <v>43</v>
      </c>
      <c r="F344" s="2" t="n">
        <v>1</v>
      </c>
      <c r="G344" s="2" t="s">
        <v>1551</v>
      </c>
      <c r="H344" s="4" t="s">
        <v>21</v>
      </c>
      <c r="I344" s="2" t="s">
        <v>1552</v>
      </c>
      <c r="J344" s="2" t="s">
        <v>1553</v>
      </c>
      <c r="K344" s="2" t="s">
        <v>1554</v>
      </c>
    </row>
    <row r="345" customFormat="false" ht="15" hidden="false" customHeight="false" outlineLevel="0" collapsed="false">
      <c r="A345" s="2" t="n">
        <v>344</v>
      </c>
      <c r="B345" s="2" t="s">
        <v>1555</v>
      </c>
      <c r="C345" s="2" t="s">
        <v>403</v>
      </c>
      <c r="D345" s="2" t="s">
        <v>61</v>
      </c>
      <c r="E345" s="2" t="s">
        <v>43</v>
      </c>
      <c r="F345" s="2" t="n">
        <v>1</v>
      </c>
      <c r="G345" s="2" t="s">
        <v>1556</v>
      </c>
      <c r="H345" s="3" t="s">
        <v>15</v>
      </c>
      <c r="I345" s="2" t="s">
        <v>1557</v>
      </c>
      <c r="J345" s="2" t="s">
        <v>1558</v>
      </c>
      <c r="K345" s="2"/>
    </row>
    <row r="346" customFormat="false" ht="15" hidden="false" customHeight="false" outlineLevel="0" collapsed="false">
      <c r="A346" s="2" t="n">
        <v>345</v>
      </c>
      <c r="B346" s="2" t="s">
        <v>1559</v>
      </c>
      <c r="C346" s="2" t="s">
        <v>175</v>
      </c>
      <c r="D346" s="2" t="s">
        <v>13</v>
      </c>
      <c r="E346" s="2" t="s">
        <v>14</v>
      </c>
      <c r="F346" s="2" t="n">
        <v>1</v>
      </c>
      <c r="G346" s="2"/>
      <c r="H346" s="4" t="s">
        <v>21</v>
      </c>
      <c r="I346" s="2" t="s">
        <v>1560</v>
      </c>
      <c r="J346" s="2" t="s">
        <v>1561</v>
      </c>
      <c r="K346" s="2" t="s">
        <v>1562</v>
      </c>
    </row>
    <row r="347" customFormat="false" ht="15" hidden="false" customHeight="false" outlineLevel="0" collapsed="false">
      <c r="A347" s="2" t="n">
        <v>346</v>
      </c>
      <c r="B347" s="2" t="s">
        <v>766</v>
      </c>
      <c r="C347" s="2" t="s">
        <v>1563</v>
      </c>
      <c r="D347" s="2" t="s">
        <v>13</v>
      </c>
      <c r="E347" s="2" t="s">
        <v>14</v>
      </c>
      <c r="F347" s="2" t="n">
        <v>1</v>
      </c>
      <c r="G347" s="2"/>
      <c r="H347" s="3" t="s">
        <v>15</v>
      </c>
      <c r="I347" s="2" t="s">
        <v>343</v>
      </c>
      <c r="J347" s="2" t="s">
        <v>1564</v>
      </c>
      <c r="K347" s="2"/>
    </row>
    <row r="348" customFormat="false" ht="15" hidden="false" customHeight="false" outlineLevel="0" collapsed="false">
      <c r="A348" s="2" t="n">
        <v>347</v>
      </c>
      <c r="B348" s="2" t="s">
        <v>766</v>
      </c>
      <c r="C348" s="2" t="s">
        <v>1565</v>
      </c>
      <c r="D348" s="2" t="s">
        <v>13</v>
      </c>
      <c r="E348" s="2" t="s">
        <v>14</v>
      </c>
      <c r="F348" s="2" t="n">
        <v>2</v>
      </c>
      <c r="G348" s="2"/>
      <c r="H348" s="3" t="s">
        <v>15</v>
      </c>
      <c r="I348" s="2" t="s">
        <v>417</v>
      </c>
      <c r="J348" s="2" t="s">
        <v>1566</v>
      </c>
      <c r="K348" s="2" t="s">
        <v>1567</v>
      </c>
    </row>
    <row r="349" customFormat="false" ht="15" hidden="false" customHeight="false" outlineLevel="0" collapsed="false">
      <c r="A349" s="2" t="n">
        <v>348</v>
      </c>
      <c r="B349" s="2" t="s">
        <v>1568</v>
      </c>
      <c r="C349" s="2" t="s">
        <v>332</v>
      </c>
      <c r="D349" s="2" t="s">
        <v>98</v>
      </c>
      <c r="E349" s="2" t="s">
        <v>14</v>
      </c>
      <c r="F349" s="2" t="n">
        <v>3</v>
      </c>
      <c r="G349" s="2"/>
      <c r="H349" s="4" t="s">
        <v>21</v>
      </c>
      <c r="I349" s="2" t="s">
        <v>1356</v>
      </c>
      <c r="J349" s="2" t="s">
        <v>1569</v>
      </c>
      <c r="K349" s="2" t="s">
        <v>1570</v>
      </c>
    </row>
    <row r="350" customFormat="false" ht="15" hidden="false" customHeight="false" outlineLevel="0" collapsed="false">
      <c r="A350" s="2" t="n">
        <v>349</v>
      </c>
      <c r="B350" s="2" t="s">
        <v>1571</v>
      </c>
      <c r="C350" s="2" t="s">
        <v>1572</v>
      </c>
      <c r="D350" s="2" t="s">
        <v>13</v>
      </c>
      <c r="E350" s="2" t="s">
        <v>14</v>
      </c>
      <c r="F350" s="2" t="n">
        <v>1</v>
      </c>
      <c r="G350" s="2"/>
      <c r="H350" s="4" t="s">
        <v>21</v>
      </c>
      <c r="I350" s="2" t="s">
        <v>1573</v>
      </c>
      <c r="J350" s="2" t="s">
        <v>1574</v>
      </c>
      <c r="K350" s="2" t="s">
        <v>1575</v>
      </c>
    </row>
    <row r="351" customFormat="false" ht="15" hidden="false" customHeight="false" outlineLevel="0" collapsed="false">
      <c r="A351" s="2" t="n">
        <v>350</v>
      </c>
      <c r="B351" s="2" t="s">
        <v>1576</v>
      </c>
      <c r="C351" s="2" t="s">
        <v>957</v>
      </c>
      <c r="D351" s="2" t="s">
        <v>13</v>
      </c>
      <c r="E351" s="2" t="s">
        <v>14</v>
      </c>
      <c r="F351" s="2" t="n">
        <v>1</v>
      </c>
      <c r="G351" s="2"/>
      <c r="H351" s="3" t="s">
        <v>15</v>
      </c>
      <c r="I351" s="2" t="s">
        <v>1577</v>
      </c>
      <c r="J351" s="2" t="s">
        <v>1578</v>
      </c>
      <c r="K351" s="2" t="s">
        <v>1579</v>
      </c>
    </row>
    <row r="352" customFormat="false" ht="15" hidden="false" customHeight="false" outlineLevel="0" collapsed="false">
      <c r="A352" s="2" t="n">
        <v>351</v>
      </c>
      <c r="B352" s="2" t="s">
        <v>1576</v>
      </c>
      <c r="C352" s="2" t="s">
        <v>1580</v>
      </c>
      <c r="D352" s="2" t="s">
        <v>13</v>
      </c>
      <c r="E352" s="2" t="s">
        <v>14</v>
      </c>
      <c r="F352" s="2" t="n">
        <v>2</v>
      </c>
      <c r="G352" s="2"/>
      <c r="H352" s="4" t="s">
        <v>21</v>
      </c>
      <c r="I352" s="2" t="s">
        <v>1581</v>
      </c>
      <c r="J352" s="2" t="s">
        <v>1582</v>
      </c>
      <c r="K352" s="2" t="s">
        <v>1583</v>
      </c>
    </row>
    <row r="353" customFormat="false" ht="15" hidden="false" customHeight="false" outlineLevel="0" collapsed="false">
      <c r="A353" s="2" t="n">
        <v>352</v>
      </c>
      <c r="B353" s="2" t="s">
        <v>1584</v>
      </c>
      <c r="C353" s="2" t="s">
        <v>1585</v>
      </c>
      <c r="D353" s="2" t="s">
        <v>13</v>
      </c>
      <c r="E353" s="2" t="s">
        <v>14</v>
      </c>
      <c r="F353" s="2" t="n">
        <v>3</v>
      </c>
      <c r="G353" s="2"/>
      <c r="H353" s="4" t="s">
        <v>21</v>
      </c>
      <c r="I353" s="2" t="s">
        <v>1586</v>
      </c>
      <c r="J353" s="2" t="s">
        <v>1587</v>
      </c>
      <c r="K353" s="2" t="s">
        <v>1588</v>
      </c>
    </row>
    <row r="354" customFormat="false" ht="15" hidden="false" customHeight="false" outlineLevel="0" collapsed="false">
      <c r="A354" s="2" t="n">
        <v>353</v>
      </c>
      <c r="B354" s="2" t="s">
        <v>1589</v>
      </c>
      <c r="C354" s="2" t="s">
        <v>407</v>
      </c>
      <c r="D354" s="2" t="s">
        <v>1590</v>
      </c>
      <c r="E354" s="2" t="s">
        <v>182</v>
      </c>
      <c r="F354" s="2" t="n">
        <v>2</v>
      </c>
      <c r="G354" s="2" t="s">
        <v>1591</v>
      </c>
      <c r="H354" s="4" t="s">
        <v>21</v>
      </c>
      <c r="I354" s="2" t="s">
        <v>1592</v>
      </c>
      <c r="J354" s="2" t="s">
        <v>1593</v>
      </c>
      <c r="K354" s="2" t="s">
        <v>1594</v>
      </c>
    </row>
    <row r="355" customFormat="false" ht="15" hidden="false" customHeight="false" outlineLevel="0" collapsed="false">
      <c r="A355" s="2" t="n">
        <v>354</v>
      </c>
      <c r="B355" s="2" t="s">
        <v>1595</v>
      </c>
      <c r="C355" s="2" t="s">
        <v>394</v>
      </c>
      <c r="D355" s="2" t="s">
        <v>258</v>
      </c>
      <c r="E355" s="2" t="s">
        <v>43</v>
      </c>
      <c r="F355" s="2" t="n">
        <v>3</v>
      </c>
      <c r="G355" s="2" t="s">
        <v>1596</v>
      </c>
      <c r="H355" s="4" t="s">
        <v>21</v>
      </c>
      <c r="I355" s="2" t="s">
        <v>1597</v>
      </c>
      <c r="J355" s="2" t="s">
        <v>1598</v>
      </c>
      <c r="K355" s="2" t="s">
        <v>1599</v>
      </c>
    </row>
    <row r="356" customFormat="false" ht="15" hidden="false" customHeight="false" outlineLevel="0" collapsed="false">
      <c r="A356" s="2" t="n">
        <v>355</v>
      </c>
      <c r="B356" s="2" t="s">
        <v>1600</v>
      </c>
      <c r="C356" s="2" t="s">
        <v>886</v>
      </c>
      <c r="D356" s="2" t="s">
        <v>13</v>
      </c>
      <c r="E356" s="2" t="s">
        <v>14</v>
      </c>
      <c r="F356" s="2" t="n">
        <v>1</v>
      </c>
      <c r="G356" s="2"/>
      <c r="H356" s="4" t="s">
        <v>21</v>
      </c>
      <c r="I356" s="2" t="s">
        <v>1601</v>
      </c>
      <c r="J356" s="2" t="s">
        <v>1602</v>
      </c>
      <c r="K356" s="2" t="s">
        <v>1603</v>
      </c>
    </row>
    <row r="357" customFormat="false" ht="15" hidden="false" customHeight="false" outlineLevel="0" collapsed="false">
      <c r="A357" s="2" t="n">
        <v>356</v>
      </c>
      <c r="B357" s="2" t="s">
        <v>1604</v>
      </c>
      <c r="C357" s="2" t="s">
        <v>407</v>
      </c>
      <c r="D357" s="2" t="s">
        <v>42</v>
      </c>
      <c r="E357" s="2" t="s">
        <v>43</v>
      </c>
      <c r="F357" s="2" t="n">
        <v>1</v>
      </c>
      <c r="G357" s="2" t="s">
        <v>1605</v>
      </c>
      <c r="H357" s="3" t="s">
        <v>15</v>
      </c>
      <c r="I357" s="2" t="s">
        <v>343</v>
      </c>
      <c r="J357" s="2" t="s">
        <v>1606</v>
      </c>
      <c r="K357" s="2"/>
    </row>
    <row r="358" customFormat="false" ht="15" hidden="false" customHeight="false" outlineLevel="0" collapsed="false">
      <c r="A358" s="2" t="n">
        <v>357</v>
      </c>
      <c r="B358" s="2" t="s">
        <v>1607</v>
      </c>
      <c r="C358" s="2" t="s">
        <v>1608</v>
      </c>
      <c r="D358" s="2" t="s">
        <v>42</v>
      </c>
      <c r="E358" s="2" t="s">
        <v>43</v>
      </c>
      <c r="F358" s="2" t="n">
        <v>2</v>
      </c>
      <c r="G358" s="2" t="s">
        <v>1609</v>
      </c>
      <c r="H358" s="3" t="s">
        <v>15</v>
      </c>
      <c r="I358" s="2" t="s">
        <v>343</v>
      </c>
      <c r="J358" s="2" t="s">
        <v>1610</v>
      </c>
      <c r="K358" s="2"/>
    </row>
    <row r="359" customFormat="false" ht="15" hidden="false" customHeight="false" outlineLevel="0" collapsed="false">
      <c r="A359" s="2" t="n">
        <v>358</v>
      </c>
      <c r="B359" s="2" t="s">
        <v>1611</v>
      </c>
      <c r="C359" s="2" t="s">
        <v>351</v>
      </c>
      <c r="D359" s="2" t="s">
        <v>61</v>
      </c>
      <c r="E359" s="2" t="s">
        <v>43</v>
      </c>
      <c r="F359" s="2" t="n">
        <v>2</v>
      </c>
      <c r="G359" s="2" t="s">
        <v>1612</v>
      </c>
      <c r="H359" s="4" t="s">
        <v>21</v>
      </c>
      <c r="I359" s="2" t="s">
        <v>1613</v>
      </c>
      <c r="J359" s="2" t="s">
        <v>1614</v>
      </c>
      <c r="K359" s="2" t="s">
        <v>1615</v>
      </c>
    </row>
    <row r="360" customFormat="false" ht="15" hidden="false" customHeight="false" outlineLevel="0" collapsed="false">
      <c r="A360" s="2" t="n">
        <v>359</v>
      </c>
      <c r="B360" s="2" t="s">
        <v>1616</v>
      </c>
      <c r="C360" s="2" t="s">
        <v>351</v>
      </c>
      <c r="D360" s="2" t="s">
        <v>20</v>
      </c>
      <c r="E360" s="2" t="s">
        <v>14</v>
      </c>
      <c r="F360" s="2" t="n">
        <v>1</v>
      </c>
      <c r="G360" s="2"/>
      <c r="H360" s="5" t="s">
        <v>45</v>
      </c>
      <c r="I360" s="2" t="s">
        <v>1617</v>
      </c>
      <c r="J360" s="2" t="s">
        <v>1618</v>
      </c>
      <c r="K360" s="2" t="s">
        <v>1619</v>
      </c>
    </row>
    <row r="361" customFormat="false" ht="15" hidden="false" customHeight="false" outlineLevel="0" collapsed="false">
      <c r="A361" s="2" t="n">
        <v>360</v>
      </c>
      <c r="B361" s="2" t="s">
        <v>1620</v>
      </c>
      <c r="C361" s="2" t="s">
        <v>1621</v>
      </c>
      <c r="D361" s="2" t="s">
        <v>258</v>
      </c>
      <c r="E361" s="2" t="s">
        <v>43</v>
      </c>
      <c r="F361" s="2" t="n">
        <v>2</v>
      </c>
      <c r="G361" s="2" t="s">
        <v>1622</v>
      </c>
      <c r="H361" s="3" t="s">
        <v>15</v>
      </c>
      <c r="I361" s="2" t="s">
        <v>343</v>
      </c>
      <c r="J361" s="2" t="s">
        <v>1623</v>
      </c>
      <c r="K361" s="2"/>
    </row>
    <row r="362" customFormat="false" ht="15" hidden="false" customHeight="false" outlineLevel="0" collapsed="false">
      <c r="A362" s="2" t="n">
        <v>361</v>
      </c>
      <c r="B362" s="2" t="s">
        <v>1624</v>
      </c>
      <c r="C362" s="2" t="s">
        <v>332</v>
      </c>
      <c r="D362" s="2" t="s">
        <v>42</v>
      </c>
      <c r="E362" s="2" t="s">
        <v>43</v>
      </c>
      <c r="F362" s="2" t="n">
        <v>1</v>
      </c>
      <c r="G362" s="2" t="s">
        <v>1625</v>
      </c>
      <c r="H362" s="3" t="s">
        <v>15</v>
      </c>
      <c r="I362" s="2" t="s">
        <v>1626</v>
      </c>
      <c r="J362" s="2" t="s">
        <v>1627</v>
      </c>
      <c r="K362" s="2" t="s">
        <v>1628</v>
      </c>
    </row>
    <row r="363" customFormat="false" ht="15" hidden="false" customHeight="false" outlineLevel="0" collapsed="false">
      <c r="A363" s="2" t="n">
        <v>362</v>
      </c>
      <c r="B363" s="2" t="s">
        <v>1629</v>
      </c>
      <c r="C363" s="2" t="s">
        <v>1630</v>
      </c>
      <c r="D363" s="2" t="s">
        <v>13</v>
      </c>
      <c r="E363" s="2" t="s">
        <v>14</v>
      </c>
      <c r="F363" s="2" t="n">
        <v>1</v>
      </c>
      <c r="G363" s="2"/>
      <c r="H363" s="4" t="s">
        <v>21</v>
      </c>
      <c r="I363" s="2" t="s">
        <v>1631</v>
      </c>
      <c r="J363" s="2" t="s">
        <v>1632</v>
      </c>
      <c r="K363" s="2" t="s">
        <v>1633</v>
      </c>
    </row>
    <row r="364" customFormat="false" ht="15" hidden="false" customHeight="false" outlineLevel="0" collapsed="false">
      <c r="A364" s="2" t="n">
        <v>363</v>
      </c>
      <c r="B364" s="2" t="s">
        <v>1634</v>
      </c>
      <c r="C364" s="2" t="s">
        <v>906</v>
      </c>
      <c r="D364" s="2" t="s">
        <v>42</v>
      </c>
      <c r="E364" s="2" t="s">
        <v>43</v>
      </c>
      <c r="F364" s="2" t="n">
        <v>1</v>
      </c>
      <c r="G364" s="2" t="s">
        <v>1635</v>
      </c>
      <c r="H364" s="4" t="s">
        <v>21</v>
      </c>
      <c r="I364" s="2" t="s">
        <v>1636</v>
      </c>
      <c r="J364" s="2" t="s">
        <v>1637</v>
      </c>
      <c r="K364" s="2" t="s">
        <v>1638</v>
      </c>
    </row>
    <row r="365" customFormat="false" ht="15" hidden="false" customHeight="false" outlineLevel="0" collapsed="false">
      <c r="A365" s="2" t="n">
        <v>364</v>
      </c>
      <c r="B365" s="2" t="s">
        <v>1639</v>
      </c>
      <c r="C365" s="2" t="s">
        <v>1640</v>
      </c>
      <c r="D365" s="2" t="s">
        <v>20</v>
      </c>
      <c r="E365" s="2" t="s">
        <v>14</v>
      </c>
      <c r="F365" s="2" t="n">
        <v>1</v>
      </c>
      <c r="G365" s="2"/>
      <c r="H365" s="3" t="s">
        <v>15</v>
      </c>
      <c r="I365" s="2" t="s">
        <v>343</v>
      </c>
      <c r="J365" s="2" t="s">
        <v>1641</v>
      </c>
      <c r="K365" s="2"/>
    </row>
    <row r="366" customFormat="false" ht="15" hidden="false" customHeight="false" outlineLevel="0" collapsed="false">
      <c r="A366" s="2" t="n">
        <v>365</v>
      </c>
      <c r="B366" s="2" t="s">
        <v>201</v>
      </c>
      <c r="C366" s="2" t="s">
        <v>175</v>
      </c>
      <c r="D366" s="2" t="s">
        <v>61</v>
      </c>
      <c r="E366" s="2" t="s">
        <v>43</v>
      </c>
      <c r="F366" s="2" t="n">
        <v>1</v>
      </c>
      <c r="G366" s="2" t="s">
        <v>1642</v>
      </c>
      <c r="H366" s="4" t="s">
        <v>21</v>
      </c>
      <c r="I366" s="2" t="s">
        <v>1643</v>
      </c>
      <c r="J366" s="2" t="s">
        <v>1644</v>
      </c>
      <c r="K366" s="2" t="s">
        <v>1645</v>
      </c>
    </row>
    <row r="367" customFormat="false" ht="15" hidden="false" customHeight="false" outlineLevel="0" collapsed="false">
      <c r="A367" s="2" t="n">
        <v>366</v>
      </c>
      <c r="B367" s="2" t="s">
        <v>1646</v>
      </c>
      <c r="C367" s="2" t="s">
        <v>627</v>
      </c>
      <c r="D367" s="2" t="s">
        <v>13</v>
      </c>
      <c r="E367" s="2" t="s">
        <v>14</v>
      </c>
      <c r="F367" s="2" t="n">
        <v>1</v>
      </c>
      <c r="G367" s="2"/>
      <c r="H367" s="4" t="s">
        <v>21</v>
      </c>
      <c r="I367" s="2" t="s">
        <v>1647</v>
      </c>
      <c r="J367" s="2" t="s">
        <v>1648</v>
      </c>
      <c r="K367" s="2" t="s">
        <v>1649</v>
      </c>
    </row>
    <row r="368" customFormat="false" ht="15" hidden="false" customHeight="false" outlineLevel="0" collapsed="false">
      <c r="A368" s="2" t="n">
        <v>367</v>
      </c>
      <c r="B368" s="2" t="s">
        <v>1650</v>
      </c>
      <c r="C368" s="2" t="s">
        <v>104</v>
      </c>
      <c r="D368" s="2" t="s">
        <v>13</v>
      </c>
      <c r="E368" s="2" t="s">
        <v>14</v>
      </c>
      <c r="F368" s="2" t="n">
        <v>1</v>
      </c>
      <c r="G368" s="2"/>
      <c r="H368" s="4" t="s">
        <v>21</v>
      </c>
      <c r="I368" s="2" t="s">
        <v>1651</v>
      </c>
      <c r="J368" s="2" t="s">
        <v>1652</v>
      </c>
      <c r="K368" s="2" t="s">
        <v>1653</v>
      </c>
    </row>
    <row r="369" customFormat="false" ht="15" hidden="false" customHeight="false" outlineLevel="0" collapsed="false">
      <c r="A369" s="2" t="n">
        <v>368</v>
      </c>
      <c r="B369" s="2" t="s">
        <v>1654</v>
      </c>
      <c r="C369" s="2" t="s">
        <v>1655</v>
      </c>
      <c r="D369" s="2" t="s">
        <v>13</v>
      </c>
      <c r="E369" s="2" t="s">
        <v>14</v>
      </c>
      <c r="F369" s="2" t="n">
        <v>1</v>
      </c>
      <c r="G369" s="2"/>
      <c r="H369" s="3" t="s">
        <v>15</v>
      </c>
      <c r="I369" s="2" t="s">
        <v>1656</v>
      </c>
      <c r="J369" s="2" t="s">
        <v>1657</v>
      </c>
      <c r="K369" s="2" t="s">
        <v>1658</v>
      </c>
    </row>
    <row r="370" customFormat="false" ht="15" hidden="false" customHeight="false" outlineLevel="0" collapsed="false">
      <c r="A370" s="2" t="n">
        <v>369</v>
      </c>
      <c r="B370" s="2" t="s">
        <v>1659</v>
      </c>
      <c r="C370" s="2" t="s">
        <v>1660</v>
      </c>
      <c r="D370" s="2" t="s">
        <v>13</v>
      </c>
      <c r="E370" s="2" t="s">
        <v>14</v>
      </c>
      <c r="F370" s="2" t="n">
        <v>1</v>
      </c>
      <c r="G370" s="2"/>
      <c r="H370" s="3" t="s">
        <v>15</v>
      </c>
      <c r="I370" s="2" t="s">
        <v>1661</v>
      </c>
      <c r="J370" s="2" t="s">
        <v>1662</v>
      </c>
      <c r="K370" s="2" t="s">
        <v>1363</v>
      </c>
    </row>
    <row r="371" customFormat="false" ht="15" hidden="false" customHeight="false" outlineLevel="0" collapsed="false">
      <c r="A371" s="2" t="n">
        <v>370</v>
      </c>
      <c r="B371" s="2" t="s">
        <v>1663</v>
      </c>
      <c r="C371" s="2" t="s">
        <v>1664</v>
      </c>
      <c r="D371" s="2" t="s">
        <v>13</v>
      </c>
      <c r="E371" s="2" t="s">
        <v>14</v>
      </c>
      <c r="F371" s="2" t="n">
        <v>1</v>
      </c>
      <c r="G371" s="2"/>
      <c r="H371" s="4" t="s">
        <v>21</v>
      </c>
      <c r="I371" s="2" t="s">
        <v>1665</v>
      </c>
      <c r="J371" s="2" t="s">
        <v>1666</v>
      </c>
      <c r="K371" s="2" t="s">
        <v>1667</v>
      </c>
    </row>
    <row r="372" customFormat="false" ht="15" hidden="false" customHeight="false" outlineLevel="0" collapsed="false">
      <c r="A372" s="2" t="n">
        <v>371</v>
      </c>
      <c r="B372" s="2" t="s">
        <v>1668</v>
      </c>
      <c r="C372" s="2" t="s">
        <v>1669</v>
      </c>
      <c r="D372" s="2" t="s">
        <v>13</v>
      </c>
      <c r="E372" s="2" t="s">
        <v>14</v>
      </c>
      <c r="F372" s="2" t="n">
        <v>1</v>
      </c>
      <c r="G372" s="2"/>
      <c r="H372" s="4" t="s">
        <v>21</v>
      </c>
      <c r="I372" s="2" t="s">
        <v>1670</v>
      </c>
      <c r="J372" s="2" t="s">
        <v>1671</v>
      </c>
      <c r="K372" s="2" t="s">
        <v>1672</v>
      </c>
    </row>
    <row r="373" customFormat="false" ht="15" hidden="false" customHeight="false" outlineLevel="0" collapsed="false">
      <c r="A373" s="2" t="n">
        <v>372</v>
      </c>
      <c r="B373" s="2" t="s">
        <v>1673</v>
      </c>
      <c r="C373" s="2" t="s">
        <v>1674</v>
      </c>
      <c r="D373" s="2" t="s">
        <v>13</v>
      </c>
      <c r="E373" s="2" t="s">
        <v>14</v>
      </c>
      <c r="F373" s="2" t="n">
        <v>1</v>
      </c>
      <c r="G373" s="2"/>
      <c r="H373" s="4" t="s">
        <v>21</v>
      </c>
      <c r="I373" s="2" t="s">
        <v>119</v>
      </c>
      <c r="J373" s="2" t="s">
        <v>1675</v>
      </c>
      <c r="K373" s="2" t="s">
        <v>1676</v>
      </c>
    </row>
    <row r="374" customFormat="false" ht="15" hidden="false" customHeight="false" outlineLevel="0" collapsed="false">
      <c r="A374" s="2" t="n">
        <v>373</v>
      </c>
      <c r="B374" s="2" t="s">
        <v>1677</v>
      </c>
      <c r="C374" s="2" t="s">
        <v>131</v>
      </c>
      <c r="D374" s="2" t="s">
        <v>42</v>
      </c>
      <c r="E374" s="2" t="s">
        <v>43</v>
      </c>
      <c r="F374" s="2" t="n">
        <v>1</v>
      </c>
      <c r="G374" s="2" t="s">
        <v>1678</v>
      </c>
      <c r="H374" s="5" t="s">
        <v>45</v>
      </c>
      <c r="I374" s="2" t="s">
        <v>1679</v>
      </c>
      <c r="J374" s="2" t="s">
        <v>47</v>
      </c>
      <c r="K374" s="2"/>
    </row>
    <row r="375" customFormat="false" ht="15" hidden="false" customHeight="false" outlineLevel="0" collapsed="false">
      <c r="A375" s="2" t="n">
        <v>374</v>
      </c>
      <c r="B375" s="2" t="s">
        <v>1680</v>
      </c>
      <c r="C375" s="2" t="s">
        <v>319</v>
      </c>
      <c r="D375" s="2" t="s">
        <v>13</v>
      </c>
      <c r="E375" s="2" t="s">
        <v>14</v>
      </c>
      <c r="F375" s="2" t="n">
        <v>1</v>
      </c>
      <c r="G375" s="2"/>
      <c r="H375" s="3" t="s">
        <v>15</v>
      </c>
      <c r="I375" s="2" t="s">
        <v>1681</v>
      </c>
      <c r="J375" s="2" t="s">
        <v>1682</v>
      </c>
      <c r="K375" s="2" t="s">
        <v>1683</v>
      </c>
    </row>
    <row r="376" customFormat="false" ht="15" hidden="false" customHeight="false" outlineLevel="0" collapsed="false">
      <c r="A376" s="2" t="n">
        <v>375</v>
      </c>
      <c r="B376" s="2" t="s">
        <v>1684</v>
      </c>
      <c r="C376" s="2" t="s">
        <v>1674</v>
      </c>
      <c r="D376" s="2" t="s">
        <v>20</v>
      </c>
      <c r="E376" s="2" t="s">
        <v>14</v>
      </c>
      <c r="F376" s="2" t="n">
        <v>1</v>
      </c>
      <c r="G376" s="2"/>
      <c r="H376" s="5" t="s">
        <v>45</v>
      </c>
      <c r="I376" s="2" t="s">
        <v>1685</v>
      </c>
      <c r="J376" s="2" t="s">
        <v>1686</v>
      </c>
      <c r="K376" s="2" t="s">
        <v>1687</v>
      </c>
    </row>
    <row r="377" customFormat="false" ht="15" hidden="false" customHeight="false" outlineLevel="0" collapsed="false">
      <c r="A377" s="2" t="n">
        <v>376</v>
      </c>
      <c r="B377" s="2" t="s">
        <v>1688</v>
      </c>
      <c r="C377" s="2" t="s">
        <v>957</v>
      </c>
      <c r="D377" s="2" t="s">
        <v>42</v>
      </c>
      <c r="E377" s="2" t="s">
        <v>43</v>
      </c>
      <c r="F377" s="2" t="n">
        <v>1</v>
      </c>
      <c r="G377" s="2" t="s">
        <v>1689</v>
      </c>
      <c r="H377" s="5" t="s">
        <v>45</v>
      </c>
      <c r="I377" s="2" t="s">
        <v>1690</v>
      </c>
      <c r="J377" s="2" t="s">
        <v>47</v>
      </c>
      <c r="K377" s="2"/>
    </row>
    <row r="378" customFormat="false" ht="15" hidden="false" customHeight="false" outlineLevel="0" collapsed="false">
      <c r="A378" s="2" t="n">
        <v>377</v>
      </c>
      <c r="B378" s="2" t="s">
        <v>1691</v>
      </c>
      <c r="C378" s="2" t="s">
        <v>736</v>
      </c>
      <c r="D378" s="2" t="s">
        <v>258</v>
      </c>
      <c r="E378" s="2" t="s">
        <v>43</v>
      </c>
      <c r="F378" s="2" t="n">
        <v>2</v>
      </c>
      <c r="G378" s="2" t="s">
        <v>1692</v>
      </c>
      <c r="H378" s="4" t="s">
        <v>21</v>
      </c>
      <c r="I378" s="2" t="s">
        <v>1693</v>
      </c>
      <c r="J378" s="2" t="s">
        <v>1694</v>
      </c>
      <c r="K378" s="2" t="s">
        <v>1695</v>
      </c>
    </row>
    <row r="379" customFormat="false" ht="15" hidden="false" customHeight="false" outlineLevel="0" collapsed="false">
      <c r="A379" s="2" t="n">
        <v>378</v>
      </c>
      <c r="B379" s="2" t="s">
        <v>1696</v>
      </c>
      <c r="C379" s="2" t="s">
        <v>1697</v>
      </c>
      <c r="D379" s="2" t="s">
        <v>13</v>
      </c>
      <c r="E379" s="2" t="s">
        <v>14</v>
      </c>
      <c r="F379" s="2" t="n">
        <v>1</v>
      </c>
      <c r="G379" s="2"/>
      <c r="H379" s="4" t="s">
        <v>21</v>
      </c>
      <c r="I379" s="2" t="s">
        <v>1698</v>
      </c>
      <c r="J379" s="2" t="s">
        <v>1699</v>
      </c>
      <c r="K379" s="2" t="s">
        <v>1700</v>
      </c>
    </row>
    <row r="380" customFormat="false" ht="15" hidden="false" customHeight="false" outlineLevel="0" collapsed="false">
      <c r="A380" s="2" t="n">
        <v>379</v>
      </c>
      <c r="B380" s="2" t="s">
        <v>1701</v>
      </c>
      <c r="C380" s="2" t="s">
        <v>31</v>
      </c>
      <c r="D380" s="2" t="s">
        <v>13</v>
      </c>
      <c r="E380" s="2" t="s">
        <v>14</v>
      </c>
      <c r="F380" s="2" t="n">
        <v>1</v>
      </c>
      <c r="G380" s="2"/>
      <c r="H380" s="3" t="s">
        <v>15</v>
      </c>
      <c r="I380" s="2" t="s">
        <v>16</v>
      </c>
      <c r="J380" s="2" t="s">
        <v>1702</v>
      </c>
      <c r="K380" s="2"/>
    </row>
    <row r="381" customFormat="false" ht="15" hidden="false" customHeight="false" outlineLevel="0" collapsed="false">
      <c r="A381" s="2" t="n">
        <v>380</v>
      </c>
      <c r="B381" s="2" t="s">
        <v>1703</v>
      </c>
      <c r="C381" s="2" t="s">
        <v>1101</v>
      </c>
      <c r="D381" s="2" t="s">
        <v>13</v>
      </c>
      <c r="E381" s="2" t="s">
        <v>14</v>
      </c>
      <c r="F381" s="2" t="n">
        <v>1</v>
      </c>
      <c r="G381" s="2"/>
      <c r="H381" s="3" t="s">
        <v>15</v>
      </c>
      <c r="I381" s="2" t="s">
        <v>1704</v>
      </c>
      <c r="J381" s="2" t="s">
        <v>1705</v>
      </c>
      <c r="K381" s="2" t="s">
        <v>1706</v>
      </c>
    </row>
    <row r="382" customFormat="false" ht="15" hidden="false" customHeight="false" outlineLevel="0" collapsed="false">
      <c r="A382" s="2" t="n">
        <v>381</v>
      </c>
      <c r="B382" s="2" t="s">
        <v>1707</v>
      </c>
      <c r="C382" s="2" t="s">
        <v>1708</v>
      </c>
      <c r="D382" s="2" t="s">
        <v>98</v>
      </c>
      <c r="E382" s="2" t="s">
        <v>14</v>
      </c>
      <c r="F382" s="2" t="n">
        <v>4</v>
      </c>
      <c r="G382" s="2"/>
      <c r="H382" s="4" t="s">
        <v>21</v>
      </c>
      <c r="I382" s="2" t="s">
        <v>1709</v>
      </c>
      <c r="J382" s="2" t="s">
        <v>1710</v>
      </c>
      <c r="K382" s="2" t="s">
        <v>1711</v>
      </c>
    </row>
    <row r="383" customFormat="false" ht="15" hidden="false" customHeight="false" outlineLevel="0" collapsed="false">
      <c r="A383" s="2" t="n">
        <v>382</v>
      </c>
      <c r="B383" s="2" t="s">
        <v>1712</v>
      </c>
      <c r="C383" s="2" t="s">
        <v>642</v>
      </c>
      <c r="D383" s="2" t="s">
        <v>20</v>
      </c>
      <c r="E383" s="2" t="s">
        <v>14</v>
      </c>
      <c r="F383" s="2" t="n">
        <v>1</v>
      </c>
      <c r="G383" s="2"/>
      <c r="H383" s="5" t="s">
        <v>45</v>
      </c>
      <c r="I383" s="2" t="s">
        <v>1713</v>
      </c>
      <c r="J383" s="2" t="s">
        <v>1714</v>
      </c>
      <c r="K383" s="2" t="s">
        <v>1715</v>
      </c>
    </row>
    <row r="384" customFormat="false" ht="15" hidden="false" customHeight="false" outlineLevel="0" collapsed="false">
      <c r="A384" s="2" t="n">
        <v>383</v>
      </c>
      <c r="B384" s="2" t="s">
        <v>1716</v>
      </c>
      <c r="C384" s="2" t="s">
        <v>268</v>
      </c>
      <c r="D384" s="2" t="s">
        <v>13</v>
      </c>
      <c r="E384" s="2" t="s">
        <v>14</v>
      </c>
      <c r="F384" s="2" t="n">
        <v>1</v>
      </c>
      <c r="G384" s="2"/>
      <c r="H384" s="3" t="s">
        <v>15</v>
      </c>
      <c r="I384" s="2" t="s">
        <v>16</v>
      </c>
      <c r="J384" s="2" t="s">
        <v>1717</v>
      </c>
      <c r="K384" s="2"/>
    </row>
    <row r="385" customFormat="false" ht="15" hidden="false" customHeight="false" outlineLevel="0" collapsed="false">
      <c r="A385" s="2" t="n">
        <v>384</v>
      </c>
      <c r="B385" s="2" t="s">
        <v>1718</v>
      </c>
      <c r="C385" s="2" t="s">
        <v>127</v>
      </c>
      <c r="D385" s="2" t="s">
        <v>20</v>
      </c>
      <c r="E385" s="2" t="s">
        <v>14</v>
      </c>
      <c r="F385" s="2" t="n">
        <v>1</v>
      </c>
      <c r="G385" s="2"/>
      <c r="H385" s="3" t="s">
        <v>15</v>
      </c>
      <c r="I385" s="2" t="s">
        <v>1719</v>
      </c>
      <c r="J385" s="2" t="s">
        <v>1720</v>
      </c>
      <c r="K385" s="2"/>
    </row>
    <row r="386" customFormat="false" ht="15" hidden="false" customHeight="false" outlineLevel="0" collapsed="false">
      <c r="A386" s="2" t="n">
        <v>385</v>
      </c>
      <c r="B386" s="2" t="s">
        <v>1721</v>
      </c>
      <c r="C386" s="2" t="s">
        <v>1722</v>
      </c>
      <c r="D386" s="2" t="s">
        <v>61</v>
      </c>
      <c r="E386" s="2" t="s">
        <v>43</v>
      </c>
      <c r="F386" s="2" t="n">
        <v>1</v>
      </c>
      <c r="G386" s="2" t="s">
        <v>1723</v>
      </c>
      <c r="H386" s="4" t="s">
        <v>21</v>
      </c>
      <c r="I386" s="2" t="s">
        <v>576</v>
      </c>
      <c r="J386" s="2" t="s">
        <v>1724</v>
      </c>
      <c r="K386" s="2" t="s">
        <v>1725</v>
      </c>
    </row>
    <row r="387" customFormat="false" ht="15" hidden="false" customHeight="false" outlineLevel="0" collapsed="false">
      <c r="A387" s="2" t="n">
        <v>386</v>
      </c>
      <c r="B387" s="2" t="s">
        <v>1726</v>
      </c>
      <c r="C387" s="2" t="s">
        <v>1727</v>
      </c>
      <c r="D387" s="2" t="s">
        <v>13</v>
      </c>
      <c r="E387" s="2" t="s">
        <v>14</v>
      </c>
      <c r="F387" s="2" t="n">
        <v>1</v>
      </c>
      <c r="G387" s="2"/>
      <c r="H387" s="4" t="s">
        <v>21</v>
      </c>
      <c r="I387" s="2" t="s">
        <v>1728</v>
      </c>
      <c r="J387" s="2" t="s">
        <v>1729</v>
      </c>
      <c r="K387" s="2" t="s">
        <v>1730</v>
      </c>
    </row>
    <row r="388" customFormat="false" ht="15" hidden="false" customHeight="false" outlineLevel="0" collapsed="false">
      <c r="A388" s="2" t="n">
        <v>387</v>
      </c>
      <c r="B388" s="2" t="s">
        <v>1731</v>
      </c>
      <c r="C388" s="2" t="s">
        <v>1732</v>
      </c>
      <c r="D388" s="2" t="s">
        <v>98</v>
      </c>
      <c r="E388" s="2" t="s">
        <v>14</v>
      </c>
      <c r="F388" s="2" t="n">
        <v>3</v>
      </c>
      <c r="G388" s="2"/>
      <c r="H388" s="4" t="s">
        <v>21</v>
      </c>
      <c r="I388" s="2" t="s">
        <v>1733</v>
      </c>
      <c r="J388" s="2" t="s">
        <v>1734</v>
      </c>
      <c r="K388" s="2" t="s">
        <v>1735</v>
      </c>
    </row>
    <row r="389" customFormat="false" ht="15" hidden="false" customHeight="false" outlineLevel="0" collapsed="false">
      <c r="A389" s="2" t="n">
        <v>388</v>
      </c>
      <c r="B389" s="2" t="s">
        <v>1731</v>
      </c>
      <c r="C389" s="2" t="s">
        <v>1736</v>
      </c>
      <c r="D389" s="2" t="s">
        <v>20</v>
      </c>
      <c r="E389" s="2" t="s">
        <v>14</v>
      </c>
      <c r="F389" s="2" t="n">
        <v>1</v>
      </c>
      <c r="G389" s="2"/>
      <c r="H389" s="3" t="s">
        <v>15</v>
      </c>
      <c r="I389" s="2" t="s">
        <v>1737</v>
      </c>
      <c r="J389" s="2" t="s">
        <v>1738</v>
      </c>
      <c r="K389" s="2" t="s">
        <v>1739</v>
      </c>
    </row>
    <row r="390" customFormat="false" ht="15" hidden="false" customHeight="false" outlineLevel="0" collapsed="false">
      <c r="A390" s="2" t="n">
        <v>389</v>
      </c>
      <c r="B390" s="2" t="s">
        <v>1731</v>
      </c>
      <c r="C390" s="2" t="s">
        <v>461</v>
      </c>
      <c r="D390" s="2" t="s">
        <v>61</v>
      </c>
      <c r="E390" s="2" t="s">
        <v>43</v>
      </c>
      <c r="F390" s="2" t="n">
        <v>1</v>
      </c>
      <c r="G390" s="2" t="s">
        <v>1740</v>
      </c>
      <c r="H390" s="4" t="s">
        <v>21</v>
      </c>
      <c r="I390" s="2" t="s">
        <v>587</v>
      </c>
      <c r="J390" s="2" t="s">
        <v>1741</v>
      </c>
      <c r="K390" s="2" t="s">
        <v>1742</v>
      </c>
    </row>
    <row r="391" customFormat="false" ht="15" hidden="false" customHeight="false" outlineLevel="0" collapsed="false">
      <c r="A391" s="2" t="n">
        <v>390</v>
      </c>
      <c r="B391" s="2" t="s">
        <v>1743</v>
      </c>
      <c r="C391" s="2" t="s">
        <v>1744</v>
      </c>
      <c r="D391" s="2" t="s">
        <v>42</v>
      </c>
      <c r="E391" s="2" t="s">
        <v>43</v>
      </c>
      <c r="F391" s="2" t="n">
        <v>1</v>
      </c>
      <c r="G391" s="2" t="s">
        <v>1745</v>
      </c>
      <c r="H391" s="5" t="s">
        <v>45</v>
      </c>
      <c r="I391" s="2" t="s">
        <v>1746</v>
      </c>
      <c r="J391" s="2" t="s">
        <v>47</v>
      </c>
      <c r="K391" s="2"/>
    </row>
    <row r="392" customFormat="false" ht="15" hidden="false" customHeight="false" outlineLevel="0" collapsed="false">
      <c r="A392" s="2" t="n">
        <v>391</v>
      </c>
      <c r="B392" s="2" t="s">
        <v>1747</v>
      </c>
      <c r="C392" s="2" t="s">
        <v>1748</v>
      </c>
      <c r="D392" s="2" t="s">
        <v>13</v>
      </c>
      <c r="E392" s="2" t="s">
        <v>14</v>
      </c>
      <c r="F392" s="2" t="n">
        <v>2</v>
      </c>
      <c r="G392" s="2"/>
      <c r="H392" s="3" t="s">
        <v>15</v>
      </c>
      <c r="I392" s="2" t="s">
        <v>1749</v>
      </c>
      <c r="J392" s="2" t="s">
        <v>1750</v>
      </c>
      <c r="K392" s="2" t="s">
        <v>1751</v>
      </c>
    </row>
    <row r="393" customFormat="false" ht="15" hidden="false" customHeight="false" outlineLevel="0" collapsed="false">
      <c r="A393" s="2" t="n">
        <v>392</v>
      </c>
      <c r="B393" s="2" t="s">
        <v>1752</v>
      </c>
      <c r="C393" s="2" t="s">
        <v>1753</v>
      </c>
      <c r="D393" s="2" t="s">
        <v>13</v>
      </c>
      <c r="E393" s="2" t="s">
        <v>14</v>
      </c>
      <c r="F393" s="2" t="n">
        <v>1</v>
      </c>
      <c r="G393" s="2"/>
      <c r="H393" s="4" t="s">
        <v>21</v>
      </c>
      <c r="I393" s="2" t="s">
        <v>119</v>
      </c>
      <c r="J393" s="2" t="s">
        <v>1754</v>
      </c>
      <c r="K393" s="2" t="s">
        <v>1755</v>
      </c>
    </row>
    <row r="394" customFormat="false" ht="15" hidden="false" customHeight="false" outlineLevel="0" collapsed="false">
      <c r="A394" s="2" t="n">
        <v>393</v>
      </c>
      <c r="B394" s="2" t="s">
        <v>1756</v>
      </c>
      <c r="C394" s="2" t="s">
        <v>1757</v>
      </c>
      <c r="D394" s="2" t="s">
        <v>61</v>
      </c>
      <c r="E394" s="2" t="s">
        <v>43</v>
      </c>
      <c r="F394" s="2" t="n">
        <v>1</v>
      </c>
      <c r="G394" s="2" t="s">
        <v>1758</v>
      </c>
      <c r="H394" s="4" t="s">
        <v>21</v>
      </c>
      <c r="I394" s="2" t="s">
        <v>1509</v>
      </c>
      <c r="J394" s="2" t="s">
        <v>1759</v>
      </c>
      <c r="K394" s="2" t="s">
        <v>1760</v>
      </c>
    </row>
    <row r="395" customFormat="false" ht="15" hidden="false" customHeight="false" outlineLevel="0" collapsed="false">
      <c r="A395" s="2" t="n">
        <v>394</v>
      </c>
      <c r="B395" s="2" t="s">
        <v>1761</v>
      </c>
      <c r="C395" s="2" t="s">
        <v>1762</v>
      </c>
      <c r="D395" s="2" t="s">
        <v>61</v>
      </c>
      <c r="E395" s="2" t="s">
        <v>43</v>
      </c>
      <c r="F395" s="2" t="n">
        <v>1</v>
      </c>
      <c r="G395" s="2" t="s">
        <v>1763</v>
      </c>
      <c r="H395" s="4" t="s">
        <v>21</v>
      </c>
      <c r="I395" s="2" t="s">
        <v>1764</v>
      </c>
      <c r="J395" s="2" t="s">
        <v>1765</v>
      </c>
      <c r="K395" s="2" t="s">
        <v>1766</v>
      </c>
    </row>
    <row r="396" customFormat="false" ht="15" hidden="false" customHeight="false" outlineLevel="0" collapsed="false">
      <c r="A396" s="2" t="n">
        <v>395</v>
      </c>
      <c r="B396" s="2" t="s">
        <v>1767</v>
      </c>
      <c r="C396" s="2" t="s">
        <v>1768</v>
      </c>
      <c r="D396" s="2" t="s">
        <v>13</v>
      </c>
      <c r="E396" s="2" t="s">
        <v>14</v>
      </c>
      <c r="F396" s="2" t="n">
        <v>2</v>
      </c>
      <c r="G396" s="2"/>
      <c r="H396" s="4" t="s">
        <v>21</v>
      </c>
      <c r="I396" s="2" t="s">
        <v>1769</v>
      </c>
      <c r="J396" s="2" t="s">
        <v>1770</v>
      </c>
      <c r="K396" s="2" t="s">
        <v>1771</v>
      </c>
    </row>
    <row r="397" customFormat="false" ht="15" hidden="false" customHeight="false" outlineLevel="0" collapsed="false">
      <c r="A397" s="2" t="n">
        <v>396</v>
      </c>
      <c r="B397" s="2" t="s">
        <v>1772</v>
      </c>
      <c r="C397" s="2" t="s">
        <v>1457</v>
      </c>
      <c r="D397" s="2" t="s">
        <v>13</v>
      </c>
      <c r="E397" s="2" t="s">
        <v>14</v>
      </c>
      <c r="F397" s="2" t="n">
        <v>2</v>
      </c>
      <c r="G397" s="2"/>
      <c r="H397" s="3" t="s">
        <v>15</v>
      </c>
      <c r="I397" s="2" t="s">
        <v>1773</v>
      </c>
      <c r="J397" s="2" t="s">
        <v>1774</v>
      </c>
      <c r="K397" s="2" t="s">
        <v>1775</v>
      </c>
    </row>
    <row r="398" customFormat="false" ht="15" hidden="false" customHeight="false" outlineLevel="0" collapsed="false">
      <c r="A398" s="2" t="n">
        <v>397</v>
      </c>
      <c r="B398" s="2" t="s">
        <v>1776</v>
      </c>
      <c r="C398" s="2" t="s">
        <v>1094</v>
      </c>
      <c r="D398" s="2" t="s">
        <v>20</v>
      </c>
      <c r="E398" s="2" t="s">
        <v>14</v>
      </c>
      <c r="F398" s="2" t="n">
        <v>1</v>
      </c>
      <c r="G398" s="2"/>
      <c r="H398" s="4" t="s">
        <v>21</v>
      </c>
      <c r="I398" s="2" t="s">
        <v>1777</v>
      </c>
      <c r="J398" s="2" t="s">
        <v>1778</v>
      </c>
      <c r="K398" s="2" t="s">
        <v>1779</v>
      </c>
    </row>
    <row r="399" customFormat="false" ht="15" hidden="false" customHeight="false" outlineLevel="0" collapsed="false">
      <c r="A399" s="2" t="n">
        <v>398</v>
      </c>
      <c r="B399" s="2" t="s">
        <v>1780</v>
      </c>
      <c r="C399" s="2" t="s">
        <v>1781</v>
      </c>
      <c r="D399" s="2" t="s">
        <v>61</v>
      </c>
      <c r="E399" s="2" t="s">
        <v>43</v>
      </c>
      <c r="F399" s="2" t="n">
        <v>2</v>
      </c>
      <c r="G399" s="2" t="s">
        <v>1782</v>
      </c>
      <c r="H399" s="4" t="s">
        <v>21</v>
      </c>
      <c r="I399" s="2" t="s">
        <v>768</v>
      </c>
      <c r="J399" s="2" t="s">
        <v>1783</v>
      </c>
      <c r="K399" s="2" t="s">
        <v>1784</v>
      </c>
    </row>
    <row r="400" customFormat="false" ht="15" hidden="false" customHeight="false" outlineLevel="0" collapsed="false">
      <c r="A400" s="2" t="n">
        <v>399</v>
      </c>
      <c r="B400" s="2" t="s">
        <v>1785</v>
      </c>
      <c r="C400" s="2" t="s">
        <v>407</v>
      </c>
      <c r="D400" s="2" t="s">
        <v>61</v>
      </c>
      <c r="E400" s="2" t="s">
        <v>43</v>
      </c>
      <c r="F400" s="2" t="n">
        <v>2</v>
      </c>
      <c r="G400" s="2" t="s">
        <v>1786</v>
      </c>
      <c r="H400" s="4" t="s">
        <v>21</v>
      </c>
      <c r="I400" s="2" t="s">
        <v>231</v>
      </c>
      <c r="J400" s="2" t="s">
        <v>1787</v>
      </c>
      <c r="K400" s="2" t="s">
        <v>1788</v>
      </c>
    </row>
    <row r="401" customFormat="false" ht="15" hidden="false" customHeight="false" outlineLevel="0" collapsed="false">
      <c r="A401" s="2" t="n">
        <v>400</v>
      </c>
      <c r="B401" s="2" t="s">
        <v>1789</v>
      </c>
      <c r="C401" s="2" t="s">
        <v>1790</v>
      </c>
      <c r="D401" s="2" t="s">
        <v>20</v>
      </c>
      <c r="E401" s="2" t="s">
        <v>14</v>
      </c>
      <c r="F401" s="2" t="n">
        <v>1</v>
      </c>
      <c r="G401" s="2"/>
      <c r="H401" s="3" t="s">
        <v>15</v>
      </c>
      <c r="I401" s="2" t="s">
        <v>343</v>
      </c>
      <c r="J401" s="2" t="s">
        <v>1791</v>
      </c>
      <c r="K401" s="2"/>
    </row>
    <row r="402" customFormat="false" ht="15" hidden="false" customHeight="false" outlineLevel="0" collapsed="false">
      <c r="A402" s="2" t="n">
        <v>401</v>
      </c>
      <c r="B402" s="2" t="s">
        <v>1792</v>
      </c>
      <c r="C402" s="2" t="s">
        <v>1094</v>
      </c>
      <c r="D402" s="2" t="s">
        <v>13</v>
      </c>
      <c r="E402" s="2" t="s">
        <v>14</v>
      </c>
      <c r="F402" s="2" t="n">
        <v>1</v>
      </c>
      <c r="G402" s="2"/>
      <c r="H402" s="4" t="s">
        <v>21</v>
      </c>
      <c r="I402" s="2" t="s">
        <v>1793</v>
      </c>
      <c r="J402" s="2" t="s">
        <v>1794</v>
      </c>
      <c r="K402" s="2" t="s">
        <v>1795</v>
      </c>
    </row>
    <row r="403" customFormat="false" ht="15" hidden="false" customHeight="false" outlineLevel="0" collapsed="false">
      <c r="A403" s="2" t="n">
        <v>402</v>
      </c>
      <c r="B403" s="2" t="s">
        <v>1796</v>
      </c>
      <c r="C403" s="2" t="s">
        <v>1797</v>
      </c>
      <c r="D403" s="2" t="s">
        <v>20</v>
      </c>
      <c r="E403" s="2" t="s">
        <v>14</v>
      </c>
      <c r="F403" s="2" t="n">
        <v>2</v>
      </c>
      <c r="G403" s="2"/>
      <c r="H403" s="5" t="s">
        <v>45</v>
      </c>
      <c r="I403" s="2" t="s">
        <v>1798</v>
      </c>
      <c r="J403" s="2" t="s">
        <v>1799</v>
      </c>
      <c r="K403" s="2" t="s">
        <v>1800</v>
      </c>
    </row>
    <row r="404" customFormat="false" ht="15" hidden="false" customHeight="false" outlineLevel="0" collapsed="false">
      <c r="A404" s="2" t="n">
        <v>403</v>
      </c>
      <c r="B404" s="2" t="s">
        <v>1801</v>
      </c>
      <c r="C404" s="2" t="s">
        <v>1802</v>
      </c>
      <c r="D404" s="2" t="s">
        <v>13</v>
      </c>
      <c r="E404" s="2" t="s">
        <v>14</v>
      </c>
      <c r="F404" s="2" t="n">
        <v>1</v>
      </c>
      <c r="G404" s="2"/>
      <c r="H404" s="4" t="s">
        <v>21</v>
      </c>
      <c r="I404" s="2" t="s">
        <v>1803</v>
      </c>
      <c r="J404" s="2" t="s">
        <v>1804</v>
      </c>
      <c r="K404" s="2" t="s">
        <v>1805</v>
      </c>
    </row>
    <row r="405" customFormat="false" ht="15" hidden="false" customHeight="false" outlineLevel="0" collapsed="false">
      <c r="A405" s="2" t="n">
        <v>404</v>
      </c>
      <c r="B405" s="2" t="s">
        <v>1806</v>
      </c>
      <c r="C405" s="2" t="s">
        <v>332</v>
      </c>
      <c r="D405" s="2" t="s">
        <v>98</v>
      </c>
      <c r="E405" s="2" t="s">
        <v>14</v>
      </c>
      <c r="F405" s="2" t="n">
        <v>2</v>
      </c>
      <c r="G405" s="2"/>
      <c r="H405" s="4" t="s">
        <v>21</v>
      </c>
      <c r="I405" s="2" t="s">
        <v>1807</v>
      </c>
      <c r="J405" s="2" t="s">
        <v>1808</v>
      </c>
      <c r="K405" s="2" t="s">
        <v>1809</v>
      </c>
    </row>
    <row r="406" customFormat="false" ht="15" hidden="false" customHeight="false" outlineLevel="0" collapsed="false">
      <c r="A406" s="2" t="n">
        <v>405</v>
      </c>
      <c r="B406" s="2" t="s">
        <v>1810</v>
      </c>
      <c r="C406" s="2" t="s">
        <v>1811</v>
      </c>
      <c r="D406" s="2" t="s">
        <v>61</v>
      </c>
      <c r="E406" s="2" t="s">
        <v>43</v>
      </c>
      <c r="F406" s="2" t="n">
        <v>1</v>
      </c>
      <c r="G406" s="2" t="s">
        <v>1812</v>
      </c>
      <c r="H406" s="3" t="s">
        <v>15</v>
      </c>
      <c r="I406" s="2" t="s">
        <v>638</v>
      </c>
      <c r="J406" s="2" t="s">
        <v>1813</v>
      </c>
      <c r="K406" s="2" t="s">
        <v>1814</v>
      </c>
    </row>
    <row r="407" customFormat="false" ht="15" hidden="false" customHeight="false" outlineLevel="0" collapsed="false">
      <c r="A407" s="2" t="n">
        <v>406</v>
      </c>
      <c r="B407" s="2" t="s">
        <v>1815</v>
      </c>
      <c r="C407" s="2" t="s">
        <v>351</v>
      </c>
      <c r="D407" s="2" t="s">
        <v>13</v>
      </c>
      <c r="E407" s="2" t="s">
        <v>14</v>
      </c>
      <c r="F407" s="2" t="n">
        <v>2</v>
      </c>
      <c r="G407" s="2"/>
      <c r="H407" s="3" t="s">
        <v>15</v>
      </c>
      <c r="I407" s="2" t="s">
        <v>1816</v>
      </c>
      <c r="J407" s="2" t="s">
        <v>1817</v>
      </c>
      <c r="K407" s="2" t="s">
        <v>1818</v>
      </c>
    </row>
    <row r="408" customFormat="false" ht="15" hidden="false" customHeight="false" outlineLevel="0" collapsed="false">
      <c r="A408" s="2" t="n">
        <v>407</v>
      </c>
      <c r="B408" s="2" t="s">
        <v>1819</v>
      </c>
      <c r="C408" s="2" t="s">
        <v>1820</v>
      </c>
      <c r="D408" s="2" t="s">
        <v>20</v>
      </c>
      <c r="E408" s="2" t="s">
        <v>14</v>
      </c>
      <c r="F408" s="2" t="n">
        <v>1</v>
      </c>
      <c r="G408" s="2"/>
      <c r="H408" s="4" t="s">
        <v>21</v>
      </c>
      <c r="I408" s="2" t="s">
        <v>176</v>
      </c>
      <c r="J408" s="2" t="s">
        <v>1821</v>
      </c>
      <c r="K408" s="2" t="s">
        <v>1822</v>
      </c>
    </row>
    <row r="409" customFormat="false" ht="15" hidden="false" customHeight="false" outlineLevel="0" collapsed="false">
      <c r="A409" s="2" t="n">
        <v>408</v>
      </c>
      <c r="B409" s="2" t="s">
        <v>1823</v>
      </c>
      <c r="C409" s="2" t="s">
        <v>1824</v>
      </c>
      <c r="D409" s="2" t="s">
        <v>42</v>
      </c>
      <c r="E409" s="2" t="s">
        <v>43</v>
      </c>
      <c r="F409" s="2" t="n">
        <v>1</v>
      </c>
      <c r="G409" s="2" t="s">
        <v>1825</v>
      </c>
      <c r="H409" s="5" t="s">
        <v>45</v>
      </c>
      <c r="I409" s="2" t="s">
        <v>1826</v>
      </c>
      <c r="J409" s="2" t="s">
        <v>47</v>
      </c>
      <c r="K409" s="2"/>
    </row>
    <row r="410" customFormat="false" ht="15" hidden="false" customHeight="false" outlineLevel="0" collapsed="false">
      <c r="A410" s="2" t="n">
        <v>409</v>
      </c>
      <c r="B410" s="2" t="s">
        <v>1827</v>
      </c>
      <c r="C410" s="2" t="s">
        <v>180</v>
      </c>
      <c r="D410" s="2" t="s">
        <v>13</v>
      </c>
      <c r="E410" s="2" t="s">
        <v>14</v>
      </c>
      <c r="F410" s="2" t="n">
        <v>1</v>
      </c>
      <c r="G410" s="2"/>
      <c r="H410" s="4" t="s">
        <v>21</v>
      </c>
      <c r="I410" s="2" t="s">
        <v>492</v>
      </c>
      <c r="J410" s="2" t="s">
        <v>1828</v>
      </c>
      <c r="K410" s="2" t="s">
        <v>1829</v>
      </c>
    </row>
    <row r="411" customFormat="false" ht="15" hidden="false" customHeight="false" outlineLevel="0" collapsed="false">
      <c r="A411" s="2" t="n">
        <v>410</v>
      </c>
      <c r="B411" s="2" t="s">
        <v>1830</v>
      </c>
      <c r="C411" s="2" t="s">
        <v>337</v>
      </c>
      <c r="D411" s="2" t="s">
        <v>61</v>
      </c>
      <c r="E411" s="2" t="s">
        <v>43</v>
      </c>
      <c r="F411" s="2" t="n">
        <v>1</v>
      </c>
      <c r="G411" s="2" t="s">
        <v>1831</v>
      </c>
      <c r="H411" s="4" t="s">
        <v>21</v>
      </c>
      <c r="I411" s="2" t="s">
        <v>1832</v>
      </c>
      <c r="J411" s="2" t="s">
        <v>1833</v>
      </c>
      <c r="K411" s="2" t="s">
        <v>1834</v>
      </c>
    </row>
    <row r="412" customFormat="false" ht="15" hidden="false" customHeight="false" outlineLevel="0" collapsed="false">
      <c r="A412" s="2" t="n">
        <v>411</v>
      </c>
      <c r="B412" s="2" t="s">
        <v>1835</v>
      </c>
      <c r="C412" s="2" t="s">
        <v>1836</v>
      </c>
      <c r="D412" s="2" t="s">
        <v>42</v>
      </c>
      <c r="E412" s="2" t="s">
        <v>43</v>
      </c>
      <c r="F412" s="2" t="n">
        <v>1</v>
      </c>
      <c r="G412" s="2" t="s">
        <v>1837</v>
      </c>
      <c r="H412" s="5" t="s">
        <v>45</v>
      </c>
      <c r="I412" s="2" t="s">
        <v>1838</v>
      </c>
      <c r="J412" s="2" t="s">
        <v>47</v>
      </c>
      <c r="K412" s="2"/>
    </row>
    <row r="413" customFormat="false" ht="15" hidden="false" customHeight="false" outlineLevel="0" collapsed="false">
      <c r="A413" s="2" t="n">
        <v>412</v>
      </c>
      <c r="B413" s="2" t="s">
        <v>1839</v>
      </c>
      <c r="C413" s="2" t="s">
        <v>1840</v>
      </c>
      <c r="D413" s="2" t="s">
        <v>42</v>
      </c>
      <c r="E413" s="2" t="s">
        <v>43</v>
      </c>
      <c r="F413" s="2" t="n">
        <v>1</v>
      </c>
      <c r="G413" s="2" t="s">
        <v>1841</v>
      </c>
      <c r="H413" s="5" t="s">
        <v>45</v>
      </c>
      <c r="I413" s="2" t="s">
        <v>1842</v>
      </c>
      <c r="J413" s="2" t="s">
        <v>47</v>
      </c>
      <c r="K413" s="2"/>
    </row>
    <row r="414" customFormat="false" ht="15" hidden="false" customHeight="false" outlineLevel="0" collapsed="false">
      <c r="A414" s="2" t="n">
        <v>413</v>
      </c>
      <c r="B414" s="2" t="s">
        <v>1843</v>
      </c>
      <c r="C414" s="2" t="s">
        <v>1844</v>
      </c>
      <c r="D414" s="2" t="s">
        <v>13</v>
      </c>
      <c r="E414" s="2" t="s">
        <v>14</v>
      </c>
      <c r="F414" s="2" t="n">
        <v>1</v>
      </c>
      <c r="G414" s="2"/>
      <c r="H414" s="4" t="s">
        <v>21</v>
      </c>
      <c r="I414" s="2" t="s">
        <v>1845</v>
      </c>
      <c r="J414" s="2" t="s">
        <v>1846</v>
      </c>
      <c r="K414" s="2" t="s">
        <v>1847</v>
      </c>
    </row>
    <row r="415" customFormat="false" ht="15" hidden="false" customHeight="false" outlineLevel="0" collapsed="false">
      <c r="A415" s="2" t="n">
        <v>414</v>
      </c>
      <c r="B415" s="2" t="s">
        <v>1848</v>
      </c>
      <c r="C415" s="2" t="s">
        <v>1849</v>
      </c>
      <c r="D415" s="2" t="s">
        <v>13</v>
      </c>
      <c r="E415" s="2" t="s">
        <v>14</v>
      </c>
      <c r="F415" s="2" t="n">
        <v>1</v>
      </c>
      <c r="G415" s="2"/>
      <c r="H415" s="3" t="s">
        <v>15</v>
      </c>
      <c r="I415" s="2" t="s">
        <v>1850</v>
      </c>
      <c r="J415" s="2" t="s">
        <v>1851</v>
      </c>
      <c r="K415" s="2" t="s">
        <v>1852</v>
      </c>
    </row>
    <row r="416" customFormat="false" ht="15" hidden="false" customHeight="false" outlineLevel="0" collapsed="false">
      <c r="A416" s="2" t="n">
        <v>415</v>
      </c>
      <c r="B416" s="2" t="s">
        <v>1853</v>
      </c>
      <c r="C416" s="2" t="s">
        <v>1854</v>
      </c>
      <c r="D416" s="2" t="s">
        <v>20</v>
      </c>
      <c r="E416" s="2" t="s">
        <v>14</v>
      </c>
      <c r="F416" s="2" t="n">
        <v>1</v>
      </c>
      <c r="G416" s="2"/>
      <c r="H416" s="3" t="s">
        <v>15</v>
      </c>
      <c r="I416" s="2" t="s">
        <v>16</v>
      </c>
      <c r="J416" s="2" t="s">
        <v>1855</v>
      </c>
      <c r="K416" s="2"/>
    </row>
    <row r="417" customFormat="false" ht="15" hidden="false" customHeight="false" outlineLevel="0" collapsed="false">
      <c r="A417" s="2" t="n">
        <v>416</v>
      </c>
      <c r="B417" s="2" t="s">
        <v>1856</v>
      </c>
      <c r="C417" s="2" t="s">
        <v>201</v>
      </c>
      <c r="D417" s="2" t="s">
        <v>98</v>
      </c>
      <c r="E417" s="2" t="s">
        <v>14</v>
      </c>
      <c r="F417" s="2" t="n">
        <v>4</v>
      </c>
      <c r="G417" s="2"/>
      <c r="H417" s="4" t="s">
        <v>21</v>
      </c>
      <c r="I417" s="2" t="s">
        <v>710</v>
      </c>
      <c r="J417" s="2" t="s">
        <v>1857</v>
      </c>
      <c r="K417" s="2" t="s">
        <v>1858</v>
      </c>
    </row>
    <row r="418" customFormat="false" ht="15" hidden="false" customHeight="false" outlineLevel="0" collapsed="false">
      <c r="A418" s="2" t="n">
        <v>417</v>
      </c>
      <c r="B418" s="2" t="s">
        <v>1859</v>
      </c>
      <c r="C418" s="2" t="s">
        <v>1860</v>
      </c>
      <c r="D418" s="2" t="s">
        <v>98</v>
      </c>
      <c r="E418" s="2" t="s">
        <v>14</v>
      </c>
      <c r="F418" s="2" t="n">
        <v>3</v>
      </c>
      <c r="G418" s="2"/>
      <c r="H418" s="3" t="s">
        <v>15</v>
      </c>
      <c r="I418" s="2" t="s">
        <v>1861</v>
      </c>
      <c r="J418" s="2" t="s">
        <v>1862</v>
      </c>
      <c r="K418" s="2" t="s">
        <v>1863</v>
      </c>
    </row>
    <row r="419" customFormat="false" ht="15" hidden="false" customHeight="false" outlineLevel="0" collapsed="false">
      <c r="A419" s="2" t="n">
        <v>418</v>
      </c>
      <c r="B419" s="2" t="s">
        <v>1864</v>
      </c>
      <c r="C419" s="2" t="s">
        <v>1865</v>
      </c>
      <c r="D419" s="2" t="s">
        <v>61</v>
      </c>
      <c r="E419" s="2" t="s">
        <v>43</v>
      </c>
      <c r="F419" s="2" t="n">
        <v>1</v>
      </c>
      <c r="G419" s="2" t="s">
        <v>1866</v>
      </c>
      <c r="H419" s="3" t="s">
        <v>15</v>
      </c>
      <c r="I419" s="2" t="s">
        <v>1867</v>
      </c>
      <c r="J419" s="2" t="s">
        <v>1868</v>
      </c>
      <c r="K419" s="2" t="s">
        <v>1869</v>
      </c>
    </row>
    <row r="420" customFormat="false" ht="15" hidden="false" customHeight="false" outlineLevel="0" collapsed="false">
      <c r="A420" s="2" t="n">
        <v>419</v>
      </c>
      <c r="B420" s="2" t="s">
        <v>1870</v>
      </c>
      <c r="C420" s="2" t="s">
        <v>1871</v>
      </c>
      <c r="D420" s="2" t="s">
        <v>42</v>
      </c>
      <c r="E420" s="2" t="s">
        <v>43</v>
      </c>
      <c r="F420" s="2" t="n">
        <v>1</v>
      </c>
      <c r="G420" s="2" t="s">
        <v>1872</v>
      </c>
      <c r="H420" s="3" t="s">
        <v>15</v>
      </c>
      <c r="I420" s="2" t="s">
        <v>16</v>
      </c>
      <c r="J420" s="2" t="s">
        <v>1873</v>
      </c>
      <c r="K420" s="2"/>
    </row>
    <row r="421" customFormat="false" ht="15" hidden="false" customHeight="false" outlineLevel="0" collapsed="false">
      <c r="A421" s="2" t="n">
        <v>420</v>
      </c>
      <c r="B421" s="2" t="s">
        <v>1874</v>
      </c>
      <c r="C421" s="2" t="s">
        <v>1875</v>
      </c>
      <c r="D421" s="2" t="s">
        <v>20</v>
      </c>
      <c r="E421" s="2" t="s">
        <v>14</v>
      </c>
      <c r="F421" s="2" t="n">
        <v>1</v>
      </c>
      <c r="G421" s="2"/>
      <c r="H421" s="5" t="s">
        <v>45</v>
      </c>
      <c r="I421" s="2" t="s">
        <v>1876</v>
      </c>
      <c r="J421" s="2" t="s">
        <v>1877</v>
      </c>
      <c r="K421" s="2" t="s">
        <v>1878</v>
      </c>
    </row>
    <row r="422" customFormat="false" ht="15" hidden="false" customHeight="false" outlineLevel="0" collapsed="false">
      <c r="A422" s="2" t="n">
        <v>421</v>
      </c>
      <c r="B422" s="2" t="s">
        <v>1879</v>
      </c>
      <c r="C422" s="2" t="s">
        <v>1315</v>
      </c>
      <c r="D422" s="2" t="s">
        <v>98</v>
      </c>
      <c r="E422" s="2" t="s">
        <v>14</v>
      </c>
      <c r="F422" s="2" t="n">
        <v>3</v>
      </c>
      <c r="G422" s="2"/>
      <c r="H422" s="4" t="s">
        <v>21</v>
      </c>
      <c r="I422" s="2" t="s">
        <v>1880</v>
      </c>
      <c r="J422" s="2" t="s">
        <v>1881</v>
      </c>
      <c r="K422" s="2" t="s">
        <v>1882</v>
      </c>
    </row>
    <row r="423" customFormat="false" ht="15" hidden="false" customHeight="false" outlineLevel="0" collapsed="false">
      <c r="A423" s="2" t="n">
        <v>422</v>
      </c>
      <c r="B423" s="2" t="s">
        <v>1883</v>
      </c>
      <c r="C423" s="2" t="s">
        <v>319</v>
      </c>
      <c r="D423" s="2" t="s">
        <v>61</v>
      </c>
      <c r="E423" s="2" t="s">
        <v>43</v>
      </c>
      <c r="F423" s="2" t="n">
        <v>1</v>
      </c>
      <c r="G423" s="2" t="s">
        <v>1884</v>
      </c>
      <c r="H423" s="5" t="s">
        <v>45</v>
      </c>
      <c r="I423" s="2" t="s">
        <v>1885</v>
      </c>
      <c r="J423" s="2" t="s">
        <v>1886</v>
      </c>
      <c r="K423" s="2" t="s">
        <v>1887</v>
      </c>
    </row>
    <row r="424" customFormat="false" ht="15" hidden="false" customHeight="false" outlineLevel="0" collapsed="false">
      <c r="A424" s="2" t="n">
        <v>423</v>
      </c>
      <c r="B424" s="2" t="s">
        <v>1888</v>
      </c>
      <c r="C424" s="2" t="s">
        <v>1889</v>
      </c>
      <c r="D424" s="2" t="s">
        <v>13</v>
      </c>
      <c r="E424" s="2" t="s">
        <v>14</v>
      </c>
      <c r="F424" s="2" t="n">
        <v>1</v>
      </c>
      <c r="G424" s="2"/>
      <c r="H424" s="3" t="s">
        <v>15</v>
      </c>
      <c r="I424" s="2" t="s">
        <v>16</v>
      </c>
      <c r="J424" s="2" t="s">
        <v>1890</v>
      </c>
      <c r="K424" s="2"/>
    </row>
    <row r="425" customFormat="false" ht="15" hidden="false" customHeight="false" outlineLevel="0" collapsed="false">
      <c r="A425" s="2" t="n">
        <v>424</v>
      </c>
      <c r="B425" s="2" t="s">
        <v>1891</v>
      </c>
      <c r="C425" s="2" t="s">
        <v>642</v>
      </c>
      <c r="D425" s="2" t="s">
        <v>42</v>
      </c>
      <c r="E425" s="2" t="s">
        <v>43</v>
      </c>
      <c r="F425" s="2" t="n">
        <v>1</v>
      </c>
      <c r="G425" s="2" t="s">
        <v>1892</v>
      </c>
      <c r="H425" s="5" t="s">
        <v>45</v>
      </c>
      <c r="I425" s="2" t="s">
        <v>1893</v>
      </c>
      <c r="J425" s="2" t="s">
        <v>47</v>
      </c>
      <c r="K425" s="2"/>
    </row>
    <row r="426" customFormat="false" ht="15" hidden="false" customHeight="false" outlineLevel="0" collapsed="false">
      <c r="A426" s="2" t="n">
        <v>425</v>
      </c>
      <c r="B426" s="2" t="s">
        <v>1894</v>
      </c>
      <c r="C426" s="2" t="s">
        <v>1895</v>
      </c>
      <c r="D426" s="2" t="s">
        <v>258</v>
      </c>
      <c r="E426" s="2" t="s">
        <v>43</v>
      </c>
      <c r="F426" s="2" t="n">
        <v>2</v>
      </c>
      <c r="G426" s="2" t="s">
        <v>1896</v>
      </c>
      <c r="H426" s="3" t="s">
        <v>15</v>
      </c>
      <c r="I426" s="2" t="s">
        <v>16</v>
      </c>
      <c r="J426" s="2" t="s">
        <v>1897</v>
      </c>
      <c r="K426" s="2"/>
    </row>
    <row r="427" customFormat="false" ht="15" hidden="false" customHeight="false" outlineLevel="0" collapsed="false">
      <c r="A427" s="2" t="n">
        <v>426</v>
      </c>
      <c r="B427" s="2" t="s">
        <v>1898</v>
      </c>
      <c r="C427" s="2" t="s">
        <v>93</v>
      </c>
      <c r="D427" s="2" t="s">
        <v>13</v>
      </c>
      <c r="E427" s="2" t="s">
        <v>14</v>
      </c>
      <c r="F427" s="2" t="n">
        <v>3</v>
      </c>
      <c r="G427" s="2"/>
      <c r="H427" s="4" t="s">
        <v>21</v>
      </c>
      <c r="I427" s="2" t="s">
        <v>176</v>
      </c>
      <c r="J427" s="2" t="s">
        <v>1899</v>
      </c>
      <c r="K427" s="2" t="s">
        <v>1900</v>
      </c>
    </row>
    <row r="428" customFormat="false" ht="15" hidden="false" customHeight="false" outlineLevel="0" collapsed="false">
      <c r="A428" s="2" t="n">
        <v>427</v>
      </c>
      <c r="B428" s="2" t="s">
        <v>1901</v>
      </c>
      <c r="C428" s="2" t="s">
        <v>1902</v>
      </c>
      <c r="D428" s="2" t="s">
        <v>20</v>
      </c>
      <c r="E428" s="2" t="s">
        <v>14</v>
      </c>
      <c r="F428" s="2" t="n">
        <v>1</v>
      </c>
      <c r="G428" s="2"/>
      <c r="H428" s="3" t="s">
        <v>15</v>
      </c>
      <c r="I428" s="2" t="s">
        <v>16</v>
      </c>
      <c r="J428" s="2" t="s">
        <v>1903</v>
      </c>
      <c r="K428" s="2"/>
    </row>
    <row r="429" customFormat="false" ht="15" hidden="false" customHeight="false" outlineLevel="0" collapsed="false">
      <c r="A429" s="2" t="n">
        <v>428</v>
      </c>
      <c r="B429" s="2" t="s">
        <v>1904</v>
      </c>
      <c r="C429" s="2" t="s">
        <v>337</v>
      </c>
      <c r="D429" s="2" t="s">
        <v>13</v>
      </c>
      <c r="E429" s="2" t="s">
        <v>14</v>
      </c>
      <c r="F429" s="2" t="n">
        <v>2</v>
      </c>
      <c r="G429" s="2"/>
      <c r="H429" s="4" t="s">
        <v>21</v>
      </c>
      <c r="I429" s="2" t="s">
        <v>898</v>
      </c>
      <c r="J429" s="2" t="s">
        <v>1905</v>
      </c>
      <c r="K429" s="2" t="s">
        <v>1906</v>
      </c>
    </row>
    <row r="430" customFormat="false" ht="15" hidden="false" customHeight="false" outlineLevel="0" collapsed="false">
      <c r="A430" s="2" t="n">
        <v>429</v>
      </c>
      <c r="B430" s="2" t="s">
        <v>1907</v>
      </c>
      <c r="C430" s="2" t="s">
        <v>1908</v>
      </c>
      <c r="D430" s="2" t="s">
        <v>20</v>
      </c>
      <c r="E430" s="2" t="s">
        <v>14</v>
      </c>
      <c r="F430" s="2" t="n">
        <v>1</v>
      </c>
      <c r="G430" s="2"/>
      <c r="H430" s="4" t="s">
        <v>21</v>
      </c>
      <c r="I430" s="2" t="s">
        <v>1909</v>
      </c>
      <c r="J430" s="2" t="s">
        <v>1910</v>
      </c>
      <c r="K430" s="2" t="s">
        <v>1911</v>
      </c>
    </row>
    <row r="431" customFormat="false" ht="15" hidden="false" customHeight="false" outlineLevel="0" collapsed="false">
      <c r="A431" s="2" t="n">
        <v>430</v>
      </c>
      <c r="B431" s="2" t="s">
        <v>1912</v>
      </c>
      <c r="C431" s="2" t="s">
        <v>1324</v>
      </c>
      <c r="D431" s="2" t="s">
        <v>20</v>
      </c>
      <c r="E431" s="2" t="s">
        <v>14</v>
      </c>
      <c r="F431" s="2" t="n">
        <v>2</v>
      </c>
      <c r="G431" s="2"/>
      <c r="H431" s="3" t="s">
        <v>15</v>
      </c>
      <c r="I431" s="2" t="s">
        <v>16</v>
      </c>
      <c r="J431" s="2" t="s">
        <v>1913</v>
      </c>
      <c r="K431" s="2"/>
    </row>
    <row r="432" customFormat="false" ht="15" hidden="false" customHeight="false" outlineLevel="0" collapsed="false">
      <c r="A432" s="2" t="n">
        <v>431</v>
      </c>
      <c r="B432" s="2" t="s">
        <v>1914</v>
      </c>
      <c r="C432" s="2" t="s">
        <v>1915</v>
      </c>
      <c r="D432" s="2" t="s">
        <v>13</v>
      </c>
      <c r="E432" s="2" t="s">
        <v>14</v>
      </c>
      <c r="F432" s="2" t="n">
        <v>2</v>
      </c>
      <c r="G432" s="2"/>
      <c r="H432" s="4" t="s">
        <v>21</v>
      </c>
      <c r="I432" s="2" t="s">
        <v>1916</v>
      </c>
      <c r="J432" s="2" t="s">
        <v>1917</v>
      </c>
      <c r="K432" s="2" t="s">
        <v>1918</v>
      </c>
    </row>
    <row r="433" customFormat="false" ht="15" hidden="false" customHeight="false" outlineLevel="0" collapsed="false">
      <c r="A433" s="2" t="n">
        <v>432</v>
      </c>
      <c r="B433" s="2" t="s">
        <v>1919</v>
      </c>
      <c r="C433" s="2" t="s">
        <v>1475</v>
      </c>
      <c r="D433" s="2" t="s">
        <v>20</v>
      </c>
      <c r="E433" s="2" t="s">
        <v>14</v>
      </c>
      <c r="F433" s="2" t="n">
        <v>1</v>
      </c>
      <c r="G433" s="2"/>
      <c r="H433" s="3" t="s">
        <v>15</v>
      </c>
      <c r="I433" s="2" t="s">
        <v>16</v>
      </c>
      <c r="J433" s="2" t="s">
        <v>1920</v>
      </c>
      <c r="K433" s="2"/>
    </row>
    <row r="434" customFormat="false" ht="15" hidden="false" customHeight="false" outlineLevel="0" collapsed="false">
      <c r="A434" s="2" t="n">
        <v>433</v>
      </c>
      <c r="B434" s="2" t="s">
        <v>1919</v>
      </c>
      <c r="C434" s="2" t="s">
        <v>1921</v>
      </c>
      <c r="D434" s="2" t="s">
        <v>98</v>
      </c>
      <c r="E434" s="2" t="s">
        <v>14</v>
      </c>
      <c r="F434" s="2" t="n">
        <v>2</v>
      </c>
      <c r="G434" s="2"/>
      <c r="H434" s="3" t="s">
        <v>15</v>
      </c>
      <c r="I434" s="2" t="s">
        <v>16</v>
      </c>
      <c r="J434" s="2" t="s">
        <v>1922</v>
      </c>
      <c r="K434" s="2"/>
    </row>
    <row r="435" customFormat="false" ht="15" hidden="false" customHeight="false" outlineLevel="0" collapsed="false">
      <c r="A435" s="2" t="n">
        <v>434</v>
      </c>
      <c r="B435" s="2" t="s">
        <v>1923</v>
      </c>
      <c r="C435" s="2" t="s">
        <v>1924</v>
      </c>
      <c r="D435" s="2" t="s">
        <v>13</v>
      </c>
      <c r="E435" s="2" t="s">
        <v>14</v>
      </c>
      <c r="F435" s="2" t="n">
        <v>1</v>
      </c>
      <c r="G435" s="2"/>
      <c r="H435" s="3" t="s">
        <v>15</v>
      </c>
      <c r="I435" s="2" t="s">
        <v>1925</v>
      </c>
      <c r="J435" s="2" t="s">
        <v>1926</v>
      </c>
      <c r="K435" s="2" t="s">
        <v>1927</v>
      </c>
    </row>
    <row r="436" customFormat="false" ht="15" hidden="false" customHeight="false" outlineLevel="0" collapsed="false">
      <c r="A436" s="2" t="n">
        <v>435</v>
      </c>
      <c r="B436" s="2" t="s">
        <v>1928</v>
      </c>
      <c r="C436" s="2" t="s">
        <v>407</v>
      </c>
      <c r="D436" s="2" t="s">
        <v>13</v>
      </c>
      <c r="E436" s="2" t="s">
        <v>14</v>
      </c>
      <c r="F436" s="2" t="n">
        <v>2</v>
      </c>
      <c r="G436" s="2"/>
      <c r="H436" s="4" t="s">
        <v>21</v>
      </c>
      <c r="I436" s="2" t="s">
        <v>1156</v>
      </c>
      <c r="J436" s="2" t="s">
        <v>1929</v>
      </c>
      <c r="K436" s="2" t="s">
        <v>1930</v>
      </c>
    </row>
    <row r="437" customFormat="false" ht="15" hidden="false" customHeight="false" outlineLevel="0" collapsed="false">
      <c r="A437" s="2" t="n">
        <v>436</v>
      </c>
      <c r="B437" s="2" t="s">
        <v>1931</v>
      </c>
      <c r="C437" s="2" t="s">
        <v>1932</v>
      </c>
      <c r="D437" s="2" t="s">
        <v>1590</v>
      </c>
      <c r="E437" s="2" t="s">
        <v>182</v>
      </c>
      <c r="F437" s="2" t="n">
        <v>2</v>
      </c>
      <c r="G437" s="2" t="s">
        <v>1933</v>
      </c>
      <c r="H437" s="4" t="s">
        <v>21</v>
      </c>
      <c r="I437" s="2" t="s">
        <v>1934</v>
      </c>
      <c r="J437" s="2" t="s">
        <v>1935</v>
      </c>
      <c r="K437" s="2" t="s">
        <v>1936</v>
      </c>
    </row>
    <row r="438" customFormat="false" ht="15" hidden="false" customHeight="false" outlineLevel="0" collapsed="false">
      <c r="A438" s="2" t="n">
        <v>437</v>
      </c>
      <c r="B438" s="2" t="s">
        <v>1937</v>
      </c>
      <c r="C438" s="2" t="s">
        <v>957</v>
      </c>
      <c r="D438" s="2" t="s">
        <v>13</v>
      </c>
      <c r="E438" s="2" t="s">
        <v>14</v>
      </c>
      <c r="F438" s="2" t="n">
        <v>1</v>
      </c>
      <c r="G438" s="2"/>
      <c r="H438" s="4" t="s">
        <v>21</v>
      </c>
      <c r="I438" s="2" t="s">
        <v>619</v>
      </c>
      <c r="J438" s="2" t="s">
        <v>1938</v>
      </c>
      <c r="K438" s="2" t="s">
        <v>1939</v>
      </c>
    </row>
    <row r="439" customFormat="false" ht="15" hidden="false" customHeight="false" outlineLevel="0" collapsed="false">
      <c r="A439" s="2" t="n">
        <v>438</v>
      </c>
      <c r="B439" s="2" t="s">
        <v>1940</v>
      </c>
      <c r="C439" s="2" t="s">
        <v>1941</v>
      </c>
      <c r="D439" s="2" t="s">
        <v>13</v>
      </c>
      <c r="E439" s="2" t="s">
        <v>14</v>
      </c>
      <c r="F439" s="2" t="n">
        <v>1</v>
      </c>
      <c r="G439" s="2"/>
      <c r="H439" s="4" t="s">
        <v>21</v>
      </c>
      <c r="I439" s="2" t="s">
        <v>1942</v>
      </c>
      <c r="J439" s="2" t="s">
        <v>1943</v>
      </c>
      <c r="K439" s="2" t="s">
        <v>1944</v>
      </c>
    </row>
    <row r="440" customFormat="false" ht="15" hidden="false" customHeight="false" outlineLevel="0" collapsed="false">
      <c r="A440" s="2" t="n">
        <v>439</v>
      </c>
      <c r="B440" s="2" t="s">
        <v>1945</v>
      </c>
      <c r="C440" s="2" t="s">
        <v>675</v>
      </c>
      <c r="D440" s="2" t="s">
        <v>13</v>
      </c>
      <c r="E440" s="2" t="s">
        <v>14</v>
      </c>
      <c r="F440" s="2" t="n">
        <v>2</v>
      </c>
      <c r="G440" s="2"/>
      <c r="H440" s="3" t="s">
        <v>15</v>
      </c>
      <c r="I440" s="2" t="s">
        <v>1946</v>
      </c>
      <c r="J440" s="2" t="s">
        <v>1947</v>
      </c>
      <c r="K440" s="2" t="s">
        <v>1948</v>
      </c>
    </row>
    <row r="441" customFormat="false" ht="15" hidden="false" customHeight="false" outlineLevel="0" collapsed="false">
      <c r="A441" s="2" t="n">
        <v>440</v>
      </c>
      <c r="B441" s="2" t="s">
        <v>1949</v>
      </c>
      <c r="C441" s="2" t="s">
        <v>1167</v>
      </c>
      <c r="D441" s="2" t="s">
        <v>98</v>
      </c>
      <c r="E441" s="2" t="s">
        <v>14</v>
      </c>
      <c r="F441" s="2" t="n">
        <v>2</v>
      </c>
      <c r="G441" s="2"/>
      <c r="H441" s="3" t="s">
        <v>15</v>
      </c>
      <c r="I441" s="2" t="s">
        <v>1950</v>
      </c>
      <c r="J441" s="2" t="s">
        <v>1951</v>
      </c>
      <c r="K441" s="2" t="s">
        <v>1952</v>
      </c>
    </row>
    <row r="442" customFormat="false" ht="15" hidden="false" customHeight="false" outlineLevel="0" collapsed="false">
      <c r="A442" s="2" t="n">
        <v>441</v>
      </c>
      <c r="B442" s="2" t="s">
        <v>1953</v>
      </c>
      <c r="C442" s="2" t="s">
        <v>1463</v>
      </c>
      <c r="D442" s="2" t="s">
        <v>61</v>
      </c>
      <c r="E442" s="2" t="s">
        <v>43</v>
      </c>
      <c r="F442" s="2" t="n">
        <v>1</v>
      </c>
      <c r="G442" s="2" t="s">
        <v>1954</v>
      </c>
      <c r="H442" s="3" t="s">
        <v>15</v>
      </c>
      <c r="I442" s="2" t="s">
        <v>16</v>
      </c>
      <c r="J442" s="2" t="s">
        <v>1955</v>
      </c>
      <c r="K442" s="2"/>
    </row>
    <row r="443" customFormat="false" ht="15" hidden="false" customHeight="false" outlineLevel="0" collapsed="false">
      <c r="A443" s="2" t="n">
        <v>442</v>
      </c>
      <c r="B443" s="2" t="s">
        <v>1956</v>
      </c>
      <c r="C443" s="2" t="s">
        <v>690</v>
      </c>
      <c r="D443" s="2" t="s">
        <v>98</v>
      </c>
      <c r="E443" s="2" t="s">
        <v>14</v>
      </c>
      <c r="F443" s="2" t="n">
        <v>6</v>
      </c>
      <c r="G443" s="2"/>
      <c r="H443" s="4" t="s">
        <v>21</v>
      </c>
      <c r="I443" s="2" t="s">
        <v>1957</v>
      </c>
      <c r="J443" s="2" t="s">
        <v>1958</v>
      </c>
      <c r="K443" s="2" t="s">
        <v>1959</v>
      </c>
    </row>
    <row r="444" customFormat="false" ht="15" hidden="false" customHeight="false" outlineLevel="0" collapsed="false">
      <c r="A444" s="2" t="n">
        <v>443</v>
      </c>
      <c r="B444" s="2" t="s">
        <v>1960</v>
      </c>
      <c r="C444" s="2" t="s">
        <v>1961</v>
      </c>
      <c r="D444" s="2" t="s">
        <v>20</v>
      </c>
      <c r="E444" s="2" t="s">
        <v>14</v>
      </c>
      <c r="F444" s="2" t="n">
        <v>2</v>
      </c>
      <c r="G444" s="2"/>
      <c r="H444" s="4" t="s">
        <v>21</v>
      </c>
      <c r="I444" s="2" t="s">
        <v>1962</v>
      </c>
      <c r="J444" s="2" t="s">
        <v>1963</v>
      </c>
      <c r="K444" s="2" t="s">
        <v>1964</v>
      </c>
    </row>
    <row r="445" customFormat="false" ht="15" hidden="false" customHeight="false" outlineLevel="0" collapsed="false">
      <c r="A445" s="2" t="n">
        <v>444</v>
      </c>
      <c r="B445" s="2" t="s">
        <v>1965</v>
      </c>
      <c r="C445" s="2" t="s">
        <v>1966</v>
      </c>
      <c r="D445" s="2" t="s">
        <v>61</v>
      </c>
      <c r="E445" s="2" t="s">
        <v>43</v>
      </c>
      <c r="F445" s="2" t="n">
        <v>2</v>
      </c>
      <c r="G445" s="2" t="s">
        <v>1967</v>
      </c>
      <c r="H445" s="4" t="s">
        <v>21</v>
      </c>
      <c r="I445" s="2" t="s">
        <v>1968</v>
      </c>
      <c r="J445" s="2" t="s">
        <v>1969</v>
      </c>
      <c r="K445" s="2" t="s">
        <v>1970</v>
      </c>
    </row>
    <row r="446" customFormat="false" ht="15" hidden="false" customHeight="false" outlineLevel="0" collapsed="false">
      <c r="A446" s="2" t="n">
        <v>445</v>
      </c>
      <c r="B446" s="2" t="s">
        <v>1971</v>
      </c>
      <c r="C446" s="2" t="s">
        <v>1972</v>
      </c>
      <c r="D446" s="2" t="s">
        <v>13</v>
      </c>
      <c r="E446" s="2" t="s">
        <v>14</v>
      </c>
      <c r="F446" s="2" t="n">
        <v>4</v>
      </c>
      <c r="G446" s="2"/>
      <c r="H446" s="4" t="s">
        <v>21</v>
      </c>
      <c r="I446" s="2" t="s">
        <v>338</v>
      </c>
      <c r="J446" s="2" t="s">
        <v>1973</v>
      </c>
      <c r="K446" s="2" t="s">
        <v>1974</v>
      </c>
    </row>
    <row r="447" customFormat="false" ht="15" hidden="false" customHeight="false" outlineLevel="0" collapsed="false">
      <c r="A447" s="2" t="n">
        <v>446</v>
      </c>
      <c r="B447" s="2" t="s">
        <v>1975</v>
      </c>
      <c r="C447" s="2" t="s">
        <v>332</v>
      </c>
      <c r="D447" s="2" t="s">
        <v>13</v>
      </c>
      <c r="E447" s="2" t="s">
        <v>14</v>
      </c>
      <c r="F447" s="2" t="n">
        <v>1</v>
      </c>
      <c r="G447" s="2"/>
      <c r="H447" s="4" t="s">
        <v>21</v>
      </c>
      <c r="I447" s="2" t="s">
        <v>1733</v>
      </c>
      <c r="J447" s="2" t="s">
        <v>1976</v>
      </c>
      <c r="K447" s="2" t="s">
        <v>1977</v>
      </c>
    </row>
    <row r="448" customFormat="false" ht="15" hidden="false" customHeight="false" outlineLevel="0" collapsed="false">
      <c r="A448" s="2" t="n">
        <v>447</v>
      </c>
      <c r="B448" s="2" t="s">
        <v>1978</v>
      </c>
      <c r="C448" s="2" t="s">
        <v>297</v>
      </c>
      <c r="D448" s="2" t="s">
        <v>20</v>
      </c>
      <c r="E448" s="2" t="s">
        <v>14</v>
      </c>
      <c r="F448" s="2" t="n">
        <v>1</v>
      </c>
      <c r="G448" s="2"/>
      <c r="H448" s="4" t="s">
        <v>21</v>
      </c>
      <c r="I448" s="2" t="s">
        <v>1979</v>
      </c>
      <c r="J448" s="2" t="s">
        <v>1980</v>
      </c>
      <c r="K448" s="2" t="s">
        <v>1981</v>
      </c>
    </row>
    <row r="449" customFormat="false" ht="15" hidden="false" customHeight="false" outlineLevel="0" collapsed="false">
      <c r="A449" s="2" t="n">
        <v>448</v>
      </c>
      <c r="B449" s="2" t="s">
        <v>1978</v>
      </c>
      <c r="C449" s="2" t="s">
        <v>175</v>
      </c>
      <c r="D449" s="2" t="s">
        <v>13</v>
      </c>
      <c r="E449" s="2" t="s">
        <v>14</v>
      </c>
      <c r="F449" s="2" t="n">
        <v>1</v>
      </c>
      <c r="G449" s="2"/>
      <c r="H449" s="4" t="s">
        <v>21</v>
      </c>
      <c r="I449" s="2" t="s">
        <v>1982</v>
      </c>
      <c r="J449" s="2" t="s">
        <v>1983</v>
      </c>
      <c r="K449" s="2" t="s">
        <v>1984</v>
      </c>
    </row>
    <row r="450" customFormat="false" ht="15" hidden="false" customHeight="false" outlineLevel="0" collapsed="false">
      <c r="A450" s="2" t="n">
        <v>449</v>
      </c>
      <c r="B450" s="2" t="s">
        <v>1985</v>
      </c>
      <c r="C450" s="2" t="s">
        <v>1344</v>
      </c>
      <c r="D450" s="2" t="s">
        <v>13</v>
      </c>
      <c r="E450" s="2" t="s">
        <v>14</v>
      </c>
      <c r="F450" s="2" t="n">
        <v>1</v>
      </c>
      <c r="G450" s="2"/>
      <c r="H450" s="4" t="s">
        <v>21</v>
      </c>
      <c r="I450" s="2" t="s">
        <v>497</v>
      </c>
      <c r="J450" s="2" t="s">
        <v>1986</v>
      </c>
      <c r="K450" s="2" t="s">
        <v>1987</v>
      </c>
    </row>
    <row r="451" customFormat="false" ht="15" hidden="false" customHeight="false" outlineLevel="0" collapsed="false">
      <c r="A451" s="2" t="n">
        <v>450</v>
      </c>
      <c r="B451" s="2" t="s">
        <v>1988</v>
      </c>
      <c r="C451" s="2" t="s">
        <v>97</v>
      </c>
      <c r="D451" s="2" t="s">
        <v>42</v>
      </c>
      <c r="E451" s="2" t="s">
        <v>43</v>
      </c>
      <c r="F451" s="2" t="n">
        <v>1</v>
      </c>
      <c r="G451" s="2" t="s">
        <v>1989</v>
      </c>
      <c r="H451" s="4" t="s">
        <v>21</v>
      </c>
      <c r="I451" s="2" t="s">
        <v>1990</v>
      </c>
      <c r="J451" s="2" t="s">
        <v>1991</v>
      </c>
      <c r="K451" s="2" t="s">
        <v>1992</v>
      </c>
    </row>
    <row r="452" customFormat="false" ht="15" hidden="false" customHeight="false" outlineLevel="0" collapsed="false">
      <c r="A452" s="2" t="n">
        <v>451</v>
      </c>
      <c r="B452" s="2" t="s">
        <v>1993</v>
      </c>
      <c r="C452" s="2" t="s">
        <v>1727</v>
      </c>
      <c r="D452" s="2" t="s">
        <v>13</v>
      </c>
      <c r="E452" s="2" t="s">
        <v>14</v>
      </c>
      <c r="F452" s="2" t="n">
        <v>1</v>
      </c>
      <c r="G452" s="2"/>
      <c r="H452" s="4" t="s">
        <v>21</v>
      </c>
      <c r="I452" s="2" t="s">
        <v>1994</v>
      </c>
      <c r="J452" s="2" t="s">
        <v>1995</v>
      </c>
      <c r="K452" s="2" t="s">
        <v>1996</v>
      </c>
    </row>
    <row r="453" customFormat="false" ht="15" hidden="false" customHeight="false" outlineLevel="0" collapsed="false">
      <c r="A453" s="2" t="n">
        <v>452</v>
      </c>
      <c r="B453" s="2" t="s">
        <v>1997</v>
      </c>
      <c r="C453" s="2" t="s">
        <v>1101</v>
      </c>
      <c r="D453" s="2" t="s">
        <v>13</v>
      </c>
      <c r="E453" s="2" t="s">
        <v>14</v>
      </c>
      <c r="F453" s="2" t="n">
        <v>1</v>
      </c>
      <c r="G453" s="2"/>
      <c r="H453" s="3" t="s">
        <v>15</v>
      </c>
      <c r="I453" s="2" t="s">
        <v>343</v>
      </c>
      <c r="J453" s="2" t="s">
        <v>1998</v>
      </c>
      <c r="K453" s="2"/>
    </row>
    <row r="454" customFormat="false" ht="15" hidden="false" customHeight="false" outlineLevel="0" collapsed="false">
      <c r="A454" s="2" t="n">
        <v>453</v>
      </c>
      <c r="B454" s="2" t="s">
        <v>1997</v>
      </c>
      <c r="C454" s="2" t="s">
        <v>319</v>
      </c>
      <c r="D454" s="2" t="s">
        <v>1590</v>
      </c>
      <c r="E454" s="2" t="s">
        <v>182</v>
      </c>
      <c r="F454" s="2" t="n">
        <v>2</v>
      </c>
      <c r="G454" s="2" t="s">
        <v>1999</v>
      </c>
      <c r="H454" s="3" t="s">
        <v>15</v>
      </c>
      <c r="I454" s="2" t="s">
        <v>2000</v>
      </c>
      <c r="J454" s="2" t="s">
        <v>2001</v>
      </c>
      <c r="K454" s="2"/>
    </row>
    <row r="455" customFormat="false" ht="15" hidden="false" customHeight="false" outlineLevel="0" collapsed="false">
      <c r="A455" s="2" t="n">
        <v>454</v>
      </c>
      <c r="B455" s="2" t="s">
        <v>2002</v>
      </c>
      <c r="C455" s="2" t="s">
        <v>2003</v>
      </c>
      <c r="D455" s="2" t="s">
        <v>13</v>
      </c>
      <c r="E455" s="2" t="s">
        <v>14</v>
      </c>
      <c r="F455" s="2" t="n">
        <v>1</v>
      </c>
      <c r="G455" s="2"/>
      <c r="H455" s="4" t="s">
        <v>21</v>
      </c>
      <c r="I455" s="2" t="s">
        <v>2004</v>
      </c>
      <c r="J455" s="2" t="s">
        <v>2005</v>
      </c>
      <c r="K455" s="2" t="s">
        <v>2006</v>
      </c>
    </row>
    <row r="456" customFormat="false" ht="15" hidden="false" customHeight="false" outlineLevel="0" collapsed="false">
      <c r="A456" s="2" t="n">
        <v>455</v>
      </c>
      <c r="B456" s="2" t="s">
        <v>2007</v>
      </c>
      <c r="C456" s="2" t="s">
        <v>2008</v>
      </c>
      <c r="D456" s="2" t="s">
        <v>20</v>
      </c>
      <c r="E456" s="2" t="s">
        <v>14</v>
      </c>
      <c r="F456" s="2" t="n">
        <v>1</v>
      </c>
      <c r="G456" s="2"/>
      <c r="H456" s="5" t="s">
        <v>45</v>
      </c>
      <c r="I456" s="2" t="s">
        <v>2009</v>
      </c>
      <c r="J456" s="2" t="s">
        <v>2010</v>
      </c>
      <c r="K456" s="2" t="s">
        <v>2011</v>
      </c>
    </row>
    <row r="457" customFormat="false" ht="15" hidden="false" customHeight="false" outlineLevel="0" collapsed="false">
      <c r="A457" s="2" t="n">
        <v>456</v>
      </c>
      <c r="B457" s="2" t="s">
        <v>2012</v>
      </c>
      <c r="C457" s="2" t="s">
        <v>2013</v>
      </c>
      <c r="D457" s="2" t="s">
        <v>13</v>
      </c>
      <c r="E457" s="2" t="s">
        <v>14</v>
      </c>
      <c r="F457" s="2" t="n">
        <v>3</v>
      </c>
      <c r="G457" s="2"/>
      <c r="H457" s="4" t="s">
        <v>21</v>
      </c>
      <c r="I457" s="2" t="s">
        <v>176</v>
      </c>
      <c r="J457" s="2" t="s">
        <v>2014</v>
      </c>
      <c r="K457" s="2" t="s">
        <v>2015</v>
      </c>
    </row>
    <row r="458" customFormat="false" ht="15" hidden="false" customHeight="false" outlineLevel="0" collapsed="false">
      <c r="A458" s="2" t="n">
        <v>457</v>
      </c>
      <c r="B458" s="2" t="s">
        <v>2016</v>
      </c>
      <c r="C458" s="2" t="s">
        <v>2017</v>
      </c>
      <c r="D458" s="2" t="s">
        <v>13</v>
      </c>
      <c r="E458" s="2" t="s">
        <v>14</v>
      </c>
      <c r="F458" s="2" t="n">
        <v>1</v>
      </c>
      <c r="G458" s="2"/>
      <c r="H458" s="4" t="s">
        <v>21</v>
      </c>
      <c r="I458" s="2" t="s">
        <v>619</v>
      </c>
      <c r="J458" s="2" t="s">
        <v>2018</v>
      </c>
      <c r="K458" s="2" t="s">
        <v>2019</v>
      </c>
    </row>
    <row r="459" customFormat="false" ht="15" hidden="false" customHeight="false" outlineLevel="0" collapsed="false">
      <c r="A459" s="2" t="n">
        <v>458</v>
      </c>
      <c r="B459" s="2" t="s">
        <v>2020</v>
      </c>
      <c r="C459" s="2" t="s">
        <v>1059</v>
      </c>
      <c r="D459" s="2" t="s">
        <v>13</v>
      </c>
      <c r="E459" s="2" t="s">
        <v>14</v>
      </c>
      <c r="F459" s="2" t="n">
        <v>2</v>
      </c>
      <c r="G459" s="2"/>
      <c r="H459" s="4" t="s">
        <v>21</v>
      </c>
      <c r="I459" s="2" t="s">
        <v>2021</v>
      </c>
      <c r="J459" s="2" t="s">
        <v>2022</v>
      </c>
      <c r="K459" s="2" t="s">
        <v>2023</v>
      </c>
    </row>
    <row r="460" customFormat="false" ht="15" hidden="false" customHeight="false" outlineLevel="0" collapsed="false">
      <c r="A460" s="2" t="n">
        <v>459</v>
      </c>
      <c r="B460" s="2" t="s">
        <v>2024</v>
      </c>
      <c r="C460" s="2" t="s">
        <v>2025</v>
      </c>
      <c r="D460" s="2" t="s">
        <v>13</v>
      </c>
      <c r="E460" s="2" t="s">
        <v>14</v>
      </c>
      <c r="F460" s="2" t="n">
        <v>5</v>
      </c>
      <c r="G460" s="2"/>
      <c r="H460" s="4" t="s">
        <v>21</v>
      </c>
      <c r="I460" s="2" t="s">
        <v>2026</v>
      </c>
      <c r="J460" s="2" t="s">
        <v>2027</v>
      </c>
      <c r="K460" s="2" t="s">
        <v>2028</v>
      </c>
    </row>
    <row r="461" customFormat="false" ht="15" hidden="false" customHeight="false" outlineLevel="0" collapsed="false">
      <c r="A461" s="2" t="n">
        <v>460</v>
      </c>
      <c r="B461" s="2" t="s">
        <v>2024</v>
      </c>
      <c r="C461" s="2" t="s">
        <v>2029</v>
      </c>
      <c r="D461" s="2" t="s">
        <v>61</v>
      </c>
      <c r="E461" s="2" t="s">
        <v>43</v>
      </c>
      <c r="F461" s="2" t="n">
        <v>1</v>
      </c>
      <c r="G461" s="2" t="s">
        <v>2030</v>
      </c>
      <c r="H461" s="4" t="s">
        <v>21</v>
      </c>
      <c r="I461" s="2" t="s">
        <v>768</v>
      </c>
      <c r="J461" s="2" t="s">
        <v>2031</v>
      </c>
      <c r="K461" s="2" t="s">
        <v>2032</v>
      </c>
    </row>
    <row r="462" customFormat="false" ht="15" hidden="false" customHeight="false" outlineLevel="0" collapsed="false">
      <c r="A462" s="2" t="n">
        <v>461</v>
      </c>
      <c r="B462" s="2" t="s">
        <v>2024</v>
      </c>
      <c r="C462" s="2" t="s">
        <v>2033</v>
      </c>
      <c r="D462" s="2" t="s">
        <v>61</v>
      </c>
      <c r="E462" s="2" t="s">
        <v>43</v>
      </c>
      <c r="F462" s="2" t="n">
        <v>1</v>
      </c>
      <c r="G462" s="2" t="s">
        <v>2034</v>
      </c>
      <c r="H462" s="3" t="s">
        <v>15</v>
      </c>
      <c r="I462" s="2" t="s">
        <v>2035</v>
      </c>
      <c r="J462" s="2" t="s">
        <v>2036</v>
      </c>
      <c r="K462" s="2"/>
    </row>
    <row r="463" customFormat="false" ht="15" hidden="false" customHeight="false" outlineLevel="0" collapsed="false">
      <c r="A463" s="2" t="n">
        <v>462</v>
      </c>
      <c r="B463" s="2" t="s">
        <v>2037</v>
      </c>
      <c r="C463" s="2" t="s">
        <v>2038</v>
      </c>
      <c r="D463" s="2" t="s">
        <v>61</v>
      </c>
      <c r="E463" s="2" t="s">
        <v>43</v>
      </c>
      <c r="F463" s="2" t="n">
        <v>1</v>
      </c>
      <c r="G463" s="2" t="s">
        <v>2039</v>
      </c>
      <c r="H463" s="3" t="s">
        <v>15</v>
      </c>
      <c r="I463" s="2" t="s">
        <v>343</v>
      </c>
      <c r="J463" s="2" t="s">
        <v>2040</v>
      </c>
      <c r="K463" s="2"/>
    </row>
    <row r="464" customFormat="false" ht="15" hidden="false" customHeight="false" outlineLevel="0" collapsed="false">
      <c r="A464" s="2" t="n">
        <v>463</v>
      </c>
      <c r="B464" s="2" t="s">
        <v>2041</v>
      </c>
      <c r="C464" s="2" t="s">
        <v>201</v>
      </c>
      <c r="D464" s="2" t="s">
        <v>13</v>
      </c>
      <c r="E464" s="2" t="s">
        <v>14</v>
      </c>
      <c r="F464" s="2" t="n">
        <v>1</v>
      </c>
      <c r="G464" s="2"/>
      <c r="H464" s="4" t="s">
        <v>21</v>
      </c>
      <c r="I464" s="2" t="s">
        <v>2042</v>
      </c>
      <c r="J464" s="2" t="s">
        <v>2043</v>
      </c>
      <c r="K464" s="2" t="s">
        <v>2044</v>
      </c>
    </row>
    <row r="465" customFormat="false" ht="15" hidden="false" customHeight="false" outlineLevel="0" collapsed="false">
      <c r="A465" s="2" t="n">
        <v>464</v>
      </c>
      <c r="B465" s="2" t="s">
        <v>2045</v>
      </c>
      <c r="C465" s="2" t="s">
        <v>297</v>
      </c>
      <c r="D465" s="2" t="s">
        <v>61</v>
      </c>
      <c r="E465" s="2" t="s">
        <v>43</v>
      </c>
      <c r="F465" s="2" t="n">
        <v>2</v>
      </c>
      <c r="G465" s="2" t="s">
        <v>2046</v>
      </c>
      <c r="H465" s="3" t="s">
        <v>15</v>
      </c>
      <c r="I465" s="2" t="s">
        <v>343</v>
      </c>
      <c r="J465" s="2" t="s">
        <v>2047</v>
      </c>
      <c r="K465" s="2"/>
    </row>
    <row r="466" customFormat="false" ht="15" hidden="false" customHeight="false" outlineLevel="0" collapsed="false">
      <c r="A466" s="2" t="n">
        <v>465</v>
      </c>
      <c r="B466" s="2" t="s">
        <v>2048</v>
      </c>
      <c r="C466" s="2" t="s">
        <v>2049</v>
      </c>
      <c r="D466" s="2" t="s">
        <v>42</v>
      </c>
      <c r="E466" s="2" t="s">
        <v>43</v>
      </c>
      <c r="F466" s="2" t="n">
        <v>1</v>
      </c>
      <c r="G466" s="2" t="s">
        <v>2050</v>
      </c>
      <c r="H466" s="5" t="s">
        <v>45</v>
      </c>
      <c r="I466" s="2" t="s">
        <v>2051</v>
      </c>
      <c r="J466" s="2" t="s">
        <v>47</v>
      </c>
      <c r="K466" s="2"/>
    </row>
    <row r="467" customFormat="false" ht="15" hidden="false" customHeight="false" outlineLevel="0" collapsed="false">
      <c r="A467" s="2" t="n">
        <v>466</v>
      </c>
      <c r="B467" s="2" t="s">
        <v>2052</v>
      </c>
      <c r="C467" s="2" t="s">
        <v>2053</v>
      </c>
      <c r="D467" s="2" t="s">
        <v>20</v>
      </c>
      <c r="E467" s="2" t="s">
        <v>14</v>
      </c>
      <c r="F467" s="2" t="n">
        <v>1</v>
      </c>
      <c r="G467" s="2"/>
      <c r="H467" s="3" t="s">
        <v>15</v>
      </c>
      <c r="I467" s="2" t="s">
        <v>343</v>
      </c>
      <c r="J467" s="2" t="s">
        <v>2054</v>
      </c>
      <c r="K467" s="2"/>
    </row>
    <row r="468" customFormat="false" ht="15" hidden="false" customHeight="false" outlineLevel="0" collapsed="false">
      <c r="A468" s="2" t="n">
        <v>467</v>
      </c>
      <c r="B468" s="2" t="s">
        <v>2055</v>
      </c>
      <c r="C468" s="2" t="s">
        <v>2056</v>
      </c>
      <c r="D468" s="2" t="s">
        <v>20</v>
      </c>
      <c r="E468" s="2" t="s">
        <v>14</v>
      </c>
      <c r="F468" s="2" t="n">
        <v>1</v>
      </c>
      <c r="G468" s="2"/>
      <c r="H468" s="3" t="s">
        <v>15</v>
      </c>
      <c r="I468" s="2" t="s">
        <v>2057</v>
      </c>
      <c r="J468" s="2" t="s">
        <v>2058</v>
      </c>
      <c r="K468" s="2"/>
    </row>
    <row r="469" customFormat="false" ht="15" hidden="false" customHeight="false" outlineLevel="0" collapsed="false">
      <c r="A469" s="2" t="n">
        <v>468</v>
      </c>
      <c r="B469" s="2" t="s">
        <v>2059</v>
      </c>
      <c r="C469" s="2" t="s">
        <v>2060</v>
      </c>
      <c r="D469" s="2" t="s">
        <v>20</v>
      </c>
      <c r="E469" s="2" t="s">
        <v>14</v>
      </c>
      <c r="F469" s="2" t="n">
        <v>2</v>
      </c>
      <c r="G469" s="2"/>
      <c r="H469" s="4" t="s">
        <v>21</v>
      </c>
      <c r="I469" s="2" t="s">
        <v>2061</v>
      </c>
      <c r="J469" s="2" t="s">
        <v>2062</v>
      </c>
      <c r="K469" s="2" t="s">
        <v>2063</v>
      </c>
    </row>
    <row r="470" customFormat="false" ht="15" hidden="false" customHeight="false" outlineLevel="0" collapsed="false">
      <c r="A470" s="2" t="n">
        <v>469</v>
      </c>
      <c r="B470" s="2" t="s">
        <v>2064</v>
      </c>
      <c r="C470" s="2" t="s">
        <v>591</v>
      </c>
      <c r="D470" s="2" t="s">
        <v>13</v>
      </c>
      <c r="E470" s="2" t="s">
        <v>14</v>
      </c>
      <c r="F470" s="2" t="n">
        <v>1</v>
      </c>
      <c r="G470" s="2"/>
      <c r="H470" s="4" t="s">
        <v>21</v>
      </c>
      <c r="I470" s="2" t="s">
        <v>2065</v>
      </c>
      <c r="J470" s="2" t="s">
        <v>2066</v>
      </c>
      <c r="K470" s="2" t="s">
        <v>2067</v>
      </c>
    </row>
    <row r="471" customFormat="false" ht="15" hidden="false" customHeight="false" outlineLevel="0" collapsed="false">
      <c r="A471" s="2" t="n">
        <v>470</v>
      </c>
      <c r="B471" s="2" t="s">
        <v>2068</v>
      </c>
      <c r="C471" s="2" t="s">
        <v>2069</v>
      </c>
      <c r="D471" s="2" t="s">
        <v>13</v>
      </c>
      <c r="E471" s="2" t="s">
        <v>14</v>
      </c>
      <c r="F471" s="2" t="n">
        <v>3</v>
      </c>
      <c r="G471" s="2"/>
      <c r="H471" s="4" t="s">
        <v>21</v>
      </c>
      <c r="I471" s="2" t="s">
        <v>2070</v>
      </c>
      <c r="J471" s="2" t="s">
        <v>2071</v>
      </c>
      <c r="K471" s="2" t="s">
        <v>2072</v>
      </c>
    </row>
    <row r="472" customFormat="false" ht="15" hidden="false" customHeight="false" outlineLevel="0" collapsed="false">
      <c r="A472" s="2" t="n">
        <v>471</v>
      </c>
      <c r="B472" s="2" t="s">
        <v>2073</v>
      </c>
      <c r="C472" s="2" t="s">
        <v>2074</v>
      </c>
      <c r="D472" s="2" t="s">
        <v>13</v>
      </c>
      <c r="E472" s="2" t="s">
        <v>14</v>
      </c>
      <c r="F472" s="2" t="n">
        <v>1</v>
      </c>
      <c r="G472" s="2"/>
      <c r="H472" s="4" t="s">
        <v>21</v>
      </c>
      <c r="I472" s="2" t="s">
        <v>2075</v>
      </c>
      <c r="J472" s="2" t="s">
        <v>2076</v>
      </c>
      <c r="K472" s="2" t="s">
        <v>2077</v>
      </c>
    </row>
    <row r="473" customFormat="false" ht="15" hidden="false" customHeight="false" outlineLevel="0" collapsed="false">
      <c r="A473" s="2" t="n">
        <v>472</v>
      </c>
      <c r="B473" s="2" t="s">
        <v>2078</v>
      </c>
      <c r="C473" s="2" t="s">
        <v>2079</v>
      </c>
      <c r="D473" s="2" t="s">
        <v>42</v>
      </c>
      <c r="E473" s="2" t="s">
        <v>43</v>
      </c>
      <c r="F473" s="2" t="n">
        <v>1</v>
      </c>
      <c r="G473" s="2" t="s">
        <v>2080</v>
      </c>
      <c r="H473" s="5" t="s">
        <v>45</v>
      </c>
      <c r="I473" s="2" t="s">
        <v>2081</v>
      </c>
      <c r="J473" s="2" t="s">
        <v>47</v>
      </c>
      <c r="K473" s="2"/>
    </row>
    <row r="474" customFormat="false" ht="15" hidden="false" customHeight="false" outlineLevel="0" collapsed="false">
      <c r="A474" s="2" t="n">
        <v>473</v>
      </c>
      <c r="B474" s="2" t="s">
        <v>2082</v>
      </c>
      <c r="C474" s="2" t="s">
        <v>272</v>
      </c>
      <c r="D474" s="2" t="s">
        <v>42</v>
      </c>
      <c r="E474" s="2" t="s">
        <v>43</v>
      </c>
      <c r="F474" s="2" t="n">
        <v>1</v>
      </c>
      <c r="G474" s="2" t="s">
        <v>2083</v>
      </c>
      <c r="H474" s="3" t="s">
        <v>15</v>
      </c>
      <c r="I474" s="2" t="s">
        <v>2084</v>
      </c>
      <c r="J474" s="2" t="s">
        <v>2085</v>
      </c>
      <c r="K474" s="2" t="s">
        <v>2086</v>
      </c>
    </row>
    <row r="475" customFormat="false" ht="15" hidden="false" customHeight="false" outlineLevel="0" collapsed="false">
      <c r="A475" s="2" t="n">
        <v>474</v>
      </c>
      <c r="B475" s="2" t="s">
        <v>2087</v>
      </c>
      <c r="C475" s="2" t="s">
        <v>1264</v>
      </c>
      <c r="D475" s="2" t="s">
        <v>20</v>
      </c>
      <c r="E475" s="2" t="s">
        <v>14</v>
      </c>
      <c r="F475" s="2" t="n">
        <v>1</v>
      </c>
      <c r="G475" s="2"/>
      <c r="H475" s="5" t="s">
        <v>45</v>
      </c>
      <c r="I475" s="2" t="s">
        <v>2088</v>
      </c>
      <c r="J475" s="2" t="s">
        <v>2089</v>
      </c>
      <c r="K475" s="2" t="s">
        <v>2090</v>
      </c>
    </row>
    <row r="476" customFormat="false" ht="15" hidden="false" customHeight="false" outlineLevel="0" collapsed="false">
      <c r="A476" s="2" t="n">
        <v>475</v>
      </c>
      <c r="B476" s="2" t="s">
        <v>2091</v>
      </c>
      <c r="C476" s="2" t="s">
        <v>2092</v>
      </c>
      <c r="D476" s="2" t="s">
        <v>61</v>
      </c>
      <c r="E476" s="2" t="s">
        <v>43</v>
      </c>
      <c r="F476" s="2" t="n">
        <v>1</v>
      </c>
      <c r="G476" s="2" t="s">
        <v>2093</v>
      </c>
      <c r="H476" s="4" t="s">
        <v>21</v>
      </c>
      <c r="I476" s="2" t="s">
        <v>2094</v>
      </c>
      <c r="J476" s="2" t="s">
        <v>2095</v>
      </c>
      <c r="K476" s="2" t="s">
        <v>2096</v>
      </c>
    </row>
    <row r="477" customFormat="false" ht="15" hidden="false" customHeight="false" outlineLevel="0" collapsed="false">
      <c r="A477" s="2" t="n">
        <v>476</v>
      </c>
      <c r="B477" s="2" t="s">
        <v>2097</v>
      </c>
      <c r="C477" s="2" t="s">
        <v>2098</v>
      </c>
      <c r="D477" s="2" t="s">
        <v>13</v>
      </c>
      <c r="E477" s="2" t="s">
        <v>14</v>
      </c>
      <c r="F477" s="2" t="n">
        <v>1</v>
      </c>
      <c r="G477" s="2"/>
      <c r="H477" s="4" t="s">
        <v>21</v>
      </c>
      <c r="I477" s="2" t="s">
        <v>2099</v>
      </c>
      <c r="J477" s="2" t="s">
        <v>2100</v>
      </c>
      <c r="K477" s="2" t="s">
        <v>2101</v>
      </c>
    </row>
    <row r="478" customFormat="false" ht="15" hidden="false" customHeight="false" outlineLevel="0" collapsed="false">
      <c r="A478" s="2" t="n">
        <v>477</v>
      </c>
      <c r="B478" s="2" t="s">
        <v>2102</v>
      </c>
      <c r="C478" s="2" t="s">
        <v>26</v>
      </c>
      <c r="D478" s="2" t="s">
        <v>13</v>
      </c>
      <c r="E478" s="2" t="s">
        <v>14</v>
      </c>
      <c r="F478" s="2" t="n">
        <v>2</v>
      </c>
      <c r="G478" s="2"/>
      <c r="H478" s="4" t="s">
        <v>21</v>
      </c>
      <c r="I478" s="2" t="s">
        <v>2103</v>
      </c>
      <c r="J478" s="2" t="s">
        <v>2104</v>
      </c>
      <c r="K478" s="2" t="s">
        <v>2105</v>
      </c>
    </row>
    <row r="479" customFormat="false" ht="15" hidden="false" customHeight="false" outlineLevel="0" collapsed="false">
      <c r="A479" s="2" t="n">
        <v>478</v>
      </c>
      <c r="B479" s="2" t="s">
        <v>2106</v>
      </c>
      <c r="C479" s="2" t="s">
        <v>1435</v>
      </c>
      <c r="D479" s="2" t="s">
        <v>98</v>
      </c>
      <c r="E479" s="2" t="s">
        <v>14</v>
      </c>
      <c r="F479" s="2" t="n">
        <v>2</v>
      </c>
      <c r="G479" s="2"/>
      <c r="H479" s="4" t="s">
        <v>21</v>
      </c>
      <c r="I479" s="2" t="s">
        <v>2107</v>
      </c>
      <c r="J479" s="2" t="s">
        <v>2108</v>
      </c>
      <c r="K479" s="2" t="s">
        <v>2109</v>
      </c>
    </row>
    <row r="480" customFormat="false" ht="15" hidden="false" customHeight="false" outlineLevel="0" collapsed="false">
      <c r="A480" s="2" t="n">
        <v>479</v>
      </c>
      <c r="B480" s="2" t="s">
        <v>2110</v>
      </c>
      <c r="C480" s="2" t="s">
        <v>2111</v>
      </c>
      <c r="D480" s="2" t="s">
        <v>20</v>
      </c>
      <c r="E480" s="2" t="s">
        <v>14</v>
      </c>
      <c r="F480" s="2" t="n">
        <v>1</v>
      </c>
      <c r="G480" s="2"/>
      <c r="H480" s="4" t="s">
        <v>21</v>
      </c>
      <c r="I480" s="2" t="s">
        <v>2107</v>
      </c>
      <c r="J480" s="2" t="s">
        <v>2112</v>
      </c>
      <c r="K480" s="2" t="s">
        <v>2113</v>
      </c>
    </row>
    <row r="481" customFormat="false" ht="15" hidden="false" customHeight="false" outlineLevel="0" collapsed="false">
      <c r="A481" s="2" t="n">
        <v>480</v>
      </c>
      <c r="B481" s="2" t="s">
        <v>2114</v>
      </c>
      <c r="C481" s="2" t="s">
        <v>2115</v>
      </c>
      <c r="D481" s="2" t="s">
        <v>13</v>
      </c>
      <c r="E481" s="2" t="s">
        <v>14</v>
      </c>
      <c r="F481" s="2" t="n">
        <v>1</v>
      </c>
      <c r="G481" s="2"/>
      <c r="H481" s="3" t="s">
        <v>15</v>
      </c>
      <c r="I481" s="2" t="s">
        <v>2116</v>
      </c>
      <c r="J481" s="2" t="s">
        <v>2117</v>
      </c>
      <c r="K481" s="2" t="s">
        <v>2118</v>
      </c>
    </row>
    <row r="482" customFormat="false" ht="15" hidden="false" customHeight="false" outlineLevel="0" collapsed="false">
      <c r="A482" s="2" t="n">
        <v>481</v>
      </c>
      <c r="B482" s="2" t="s">
        <v>2119</v>
      </c>
      <c r="C482" s="2" t="s">
        <v>2120</v>
      </c>
      <c r="D482" s="2" t="s">
        <v>13</v>
      </c>
      <c r="E482" s="2" t="s">
        <v>14</v>
      </c>
      <c r="F482" s="2" t="n">
        <v>1</v>
      </c>
      <c r="G482" s="2"/>
      <c r="H482" s="4" t="s">
        <v>21</v>
      </c>
      <c r="I482" s="2" t="s">
        <v>2121</v>
      </c>
      <c r="J482" s="2" t="s">
        <v>2122</v>
      </c>
      <c r="K482" s="2" t="s">
        <v>2123</v>
      </c>
    </row>
    <row r="483" customFormat="false" ht="15" hidden="false" customHeight="false" outlineLevel="0" collapsed="false">
      <c r="A483" s="2" t="n">
        <v>482</v>
      </c>
      <c r="B483" s="2" t="s">
        <v>2124</v>
      </c>
      <c r="C483" s="2" t="s">
        <v>297</v>
      </c>
      <c r="D483" s="2" t="s">
        <v>61</v>
      </c>
      <c r="E483" s="2" t="s">
        <v>43</v>
      </c>
      <c r="F483" s="2" t="n">
        <v>1</v>
      </c>
      <c r="G483" s="2" t="s">
        <v>2125</v>
      </c>
      <c r="H483" s="3" t="s">
        <v>15</v>
      </c>
      <c r="I483" s="2" t="s">
        <v>2126</v>
      </c>
      <c r="J483" s="2" t="s">
        <v>2127</v>
      </c>
      <c r="K483" s="2" t="s">
        <v>2128</v>
      </c>
    </row>
    <row r="484" customFormat="false" ht="15" hidden="false" customHeight="false" outlineLevel="0" collapsed="false">
      <c r="A484" s="2" t="n">
        <v>483</v>
      </c>
      <c r="B484" s="2" t="s">
        <v>2129</v>
      </c>
      <c r="C484" s="2" t="s">
        <v>272</v>
      </c>
      <c r="D484" s="2" t="s">
        <v>42</v>
      </c>
      <c r="E484" s="2" t="s">
        <v>43</v>
      </c>
      <c r="F484" s="2" t="n">
        <v>1</v>
      </c>
      <c r="G484" s="2" t="s">
        <v>2130</v>
      </c>
      <c r="H484" s="5" t="s">
        <v>45</v>
      </c>
      <c r="I484" s="2" t="s">
        <v>845</v>
      </c>
      <c r="J484" s="2" t="s">
        <v>47</v>
      </c>
      <c r="K484" s="2"/>
    </row>
    <row r="485" customFormat="false" ht="15" hidden="false" customHeight="false" outlineLevel="0" collapsed="false">
      <c r="A485" s="2" t="n">
        <v>484</v>
      </c>
      <c r="B485" s="2" t="s">
        <v>2131</v>
      </c>
      <c r="C485" s="2" t="s">
        <v>1075</v>
      </c>
      <c r="D485" s="2" t="s">
        <v>20</v>
      </c>
      <c r="E485" s="2" t="s">
        <v>14</v>
      </c>
      <c r="F485" s="2" t="n">
        <v>1</v>
      </c>
      <c r="G485" s="2"/>
      <c r="H485" s="3" t="s">
        <v>15</v>
      </c>
      <c r="I485" s="2" t="s">
        <v>343</v>
      </c>
      <c r="J485" s="2" t="s">
        <v>2132</v>
      </c>
      <c r="K485" s="2" t="s">
        <v>2133</v>
      </c>
    </row>
    <row r="486" customFormat="false" ht="15" hidden="false" customHeight="false" outlineLevel="0" collapsed="false">
      <c r="A486" s="2" t="n">
        <v>485</v>
      </c>
      <c r="B486" s="2" t="s">
        <v>2134</v>
      </c>
      <c r="C486" s="2" t="s">
        <v>1752</v>
      </c>
      <c r="D486" s="2" t="s">
        <v>20</v>
      </c>
      <c r="E486" s="2" t="s">
        <v>14</v>
      </c>
      <c r="F486" s="2" t="n">
        <v>1</v>
      </c>
      <c r="G486" s="2"/>
      <c r="H486" s="4" t="s">
        <v>21</v>
      </c>
      <c r="I486" s="2" t="s">
        <v>2135</v>
      </c>
      <c r="J486" s="2" t="s">
        <v>2136</v>
      </c>
      <c r="K486" s="2" t="s">
        <v>2137</v>
      </c>
    </row>
    <row r="487" customFormat="false" ht="15" hidden="false" customHeight="false" outlineLevel="0" collapsed="false">
      <c r="A487" s="2" t="n">
        <v>486</v>
      </c>
      <c r="B487" s="2" t="s">
        <v>2138</v>
      </c>
      <c r="C487" s="2" t="s">
        <v>2139</v>
      </c>
      <c r="D487" s="2" t="s">
        <v>20</v>
      </c>
      <c r="E487" s="2" t="s">
        <v>14</v>
      </c>
      <c r="F487" s="2" t="n">
        <v>1</v>
      </c>
      <c r="G487" s="2"/>
      <c r="H487" s="5" t="s">
        <v>45</v>
      </c>
      <c r="I487" s="2" t="s">
        <v>2140</v>
      </c>
      <c r="J487" s="2" t="s">
        <v>2141</v>
      </c>
      <c r="K487" s="2" t="s">
        <v>2142</v>
      </c>
    </row>
    <row r="488" customFormat="false" ht="15" hidden="false" customHeight="false" outlineLevel="0" collapsed="false">
      <c r="A488" s="2" t="n">
        <v>487</v>
      </c>
      <c r="B488" s="2" t="s">
        <v>2143</v>
      </c>
      <c r="C488" s="2" t="s">
        <v>2144</v>
      </c>
      <c r="D488" s="2" t="s">
        <v>13</v>
      </c>
      <c r="E488" s="2" t="s">
        <v>14</v>
      </c>
      <c r="F488" s="2" t="n">
        <v>1</v>
      </c>
      <c r="G488" s="2"/>
      <c r="H488" s="3" t="s">
        <v>15</v>
      </c>
      <c r="I488" s="2" t="s">
        <v>343</v>
      </c>
      <c r="J488" s="2" t="s">
        <v>2145</v>
      </c>
      <c r="K488" s="2"/>
    </row>
    <row r="489" customFormat="false" ht="15" hidden="false" customHeight="false" outlineLevel="0" collapsed="false">
      <c r="A489" s="2" t="n">
        <v>488</v>
      </c>
      <c r="B489" s="2" t="s">
        <v>2146</v>
      </c>
      <c r="C489" s="2" t="s">
        <v>2147</v>
      </c>
      <c r="D489" s="2" t="s">
        <v>42</v>
      </c>
      <c r="E489" s="2" t="s">
        <v>43</v>
      </c>
      <c r="F489" s="2" t="n">
        <v>1</v>
      </c>
      <c r="G489" s="2" t="s">
        <v>2148</v>
      </c>
      <c r="H489" s="3" t="s">
        <v>15</v>
      </c>
      <c r="I489" s="2" t="s">
        <v>2149</v>
      </c>
      <c r="J489" s="2" t="s">
        <v>2150</v>
      </c>
      <c r="K489" s="2" t="s">
        <v>2151</v>
      </c>
    </row>
    <row r="490" customFormat="false" ht="15" hidden="false" customHeight="false" outlineLevel="0" collapsed="false">
      <c r="A490" s="2" t="n">
        <v>489</v>
      </c>
      <c r="B490" s="2" t="s">
        <v>2152</v>
      </c>
      <c r="C490" s="2" t="s">
        <v>2153</v>
      </c>
      <c r="D490" s="2" t="s">
        <v>98</v>
      </c>
      <c r="E490" s="2" t="s">
        <v>14</v>
      </c>
      <c r="F490" s="2" t="n">
        <v>2</v>
      </c>
      <c r="G490" s="2"/>
      <c r="H490" s="3" t="s">
        <v>15</v>
      </c>
      <c r="I490" s="2" t="s">
        <v>2154</v>
      </c>
      <c r="J490" s="2" t="s">
        <v>2155</v>
      </c>
      <c r="K490" s="2" t="s">
        <v>2156</v>
      </c>
    </row>
    <row r="491" customFormat="false" ht="15" hidden="false" customHeight="false" outlineLevel="0" collapsed="false">
      <c r="A491" s="2" t="n">
        <v>490</v>
      </c>
      <c r="B491" s="2" t="s">
        <v>2157</v>
      </c>
      <c r="C491" s="2" t="s">
        <v>2158</v>
      </c>
      <c r="D491" s="2" t="s">
        <v>13</v>
      </c>
      <c r="E491" s="2" t="s">
        <v>14</v>
      </c>
      <c r="F491" s="2" t="n">
        <v>2</v>
      </c>
      <c r="G491" s="2"/>
      <c r="H491" s="3" t="s">
        <v>15</v>
      </c>
      <c r="I491" s="2"/>
      <c r="J491" s="2" t="s">
        <v>2159</v>
      </c>
      <c r="K491" s="2"/>
    </row>
    <row r="492" customFormat="false" ht="15" hidden="false" customHeight="false" outlineLevel="0" collapsed="false">
      <c r="A492" s="2" t="n">
        <v>491</v>
      </c>
      <c r="B492" s="2" t="s">
        <v>2160</v>
      </c>
      <c r="C492" s="2" t="s">
        <v>627</v>
      </c>
      <c r="D492" s="2" t="s">
        <v>13</v>
      </c>
      <c r="E492" s="2" t="s">
        <v>14</v>
      </c>
      <c r="F492" s="2" t="n">
        <v>4</v>
      </c>
      <c r="G492" s="2"/>
      <c r="H492" s="4" t="s">
        <v>21</v>
      </c>
      <c r="I492" s="2" t="s">
        <v>176</v>
      </c>
      <c r="J492" s="2" t="s">
        <v>2161</v>
      </c>
      <c r="K492" s="2" t="s">
        <v>2162</v>
      </c>
    </row>
    <row r="493" customFormat="false" ht="15" hidden="false" customHeight="false" outlineLevel="0" collapsed="false">
      <c r="A493" s="2" t="n">
        <v>492</v>
      </c>
      <c r="B493" s="2" t="s">
        <v>2163</v>
      </c>
      <c r="C493" s="2" t="s">
        <v>515</v>
      </c>
      <c r="D493" s="2" t="s">
        <v>20</v>
      </c>
      <c r="E493" s="2" t="s">
        <v>14</v>
      </c>
      <c r="F493" s="2" t="n">
        <v>1</v>
      </c>
      <c r="G493" s="2"/>
      <c r="H493" s="5" t="s">
        <v>45</v>
      </c>
      <c r="I493" s="2" t="s">
        <v>2164</v>
      </c>
      <c r="J493" s="2" t="s">
        <v>2165</v>
      </c>
      <c r="K493" s="2" t="s">
        <v>2166</v>
      </c>
    </row>
    <row r="494" customFormat="false" ht="15" hidden="false" customHeight="false" outlineLevel="0" collapsed="false">
      <c r="A494" s="2" t="n">
        <v>493</v>
      </c>
      <c r="B494" s="2" t="s">
        <v>2167</v>
      </c>
      <c r="C494" s="2" t="s">
        <v>1101</v>
      </c>
      <c r="D494" s="2" t="s">
        <v>61</v>
      </c>
      <c r="E494" s="2" t="s">
        <v>43</v>
      </c>
      <c r="F494" s="2" t="n">
        <v>1</v>
      </c>
      <c r="G494" s="2" t="s">
        <v>2168</v>
      </c>
      <c r="H494" s="3" t="s">
        <v>15</v>
      </c>
      <c r="I494" s="2" t="s">
        <v>16</v>
      </c>
      <c r="J494" s="2" t="s">
        <v>2169</v>
      </c>
      <c r="K494" s="2"/>
    </row>
    <row r="495" customFormat="false" ht="15" hidden="false" customHeight="false" outlineLevel="0" collapsed="false">
      <c r="A495" s="2" t="n">
        <v>494</v>
      </c>
      <c r="B495" s="2" t="s">
        <v>2170</v>
      </c>
      <c r="C495" s="2" t="s">
        <v>229</v>
      </c>
      <c r="D495" s="2" t="s">
        <v>20</v>
      </c>
      <c r="E495" s="2" t="s">
        <v>14</v>
      </c>
      <c r="F495" s="2" t="n">
        <v>1</v>
      </c>
      <c r="G495" s="2"/>
      <c r="H495" s="4" t="s">
        <v>21</v>
      </c>
      <c r="I495" s="2" t="s">
        <v>710</v>
      </c>
      <c r="J495" s="2" t="s">
        <v>2171</v>
      </c>
      <c r="K495" s="2" t="s">
        <v>2172</v>
      </c>
    </row>
    <row r="496" customFormat="false" ht="15" hidden="false" customHeight="false" outlineLevel="0" collapsed="false">
      <c r="A496" s="2" t="n">
        <v>495</v>
      </c>
      <c r="B496" s="2" t="s">
        <v>1089</v>
      </c>
      <c r="C496" s="2" t="s">
        <v>2173</v>
      </c>
      <c r="D496" s="2" t="s">
        <v>13</v>
      </c>
      <c r="E496" s="2" t="s">
        <v>14</v>
      </c>
      <c r="F496" s="2" t="n">
        <v>1</v>
      </c>
      <c r="G496" s="2"/>
      <c r="H496" s="4" t="s">
        <v>21</v>
      </c>
      <c r="I496" s="2" t="s">
        <v>2174</v>
      </c>
      <c r="J496" s="2" t="s">
        <v>2175</v>
      </c>
      <c r="K496" s="2" t="s">
        <v>2176</v>
      </c>
    </row>
    <row r="497" customFormat="false" ht="15" hidden="false" customHeight="false" outlineLevel="0" collapsed="false">
      <c r="A497" s="2" t="n">
        <v>496</v>
      </c>
      <c r="B497" s="2" t="s">
        <v>2177</v>
      </c>
      <c r="C497" s="2" t="s">
        <v>2178</v>
      </c>
      <c r="D497" s="2" t="s">
        <v>20</v>
      </c>
      <c r="E497" s="2" t="s">
        <v>14</v>
      </c>
      <c r="F497" s="2" t="n">
        <v>1</v>
      </c>
      <c r="G497" s="2"/>
      <c r="H497" s="5" t="s">
        <v>45</v>
      </c>
      <c r="I497" s="2" t="s">
        <v>2179</v>
      </c>
      <c r="J497" s="2" t="s">
        <v>2180</v>
      </c>
      <c r="K497" s="2" t="s">
        <v>2181</v>
      </c>
    </row>
    <row r="498" customFormat="false" ht="15" hidden="false" customHeight="false" outlineLevel="0" collapsed="false">
      <c r="A498" s="2" t="n">
        <v>497</v>
      </c>
      <c r="B498" s="2" t="s">
        <v>2182</v>
      </c>
      <c r="C498" s="2" t="s">
        <v>2074</v>
      </c>
      <c r="D498" s="2" t="s">
        <v>314</v>
      </c>
      <c r="E498" s="2" t="s">
        <v>182</v>
      </c>
      <c r="F498" s="2" t="n">
        <v>2</v>
      </c>
      <c r="G498" s="2" t="s">
        <v>2183</v>
      </c>
      <c r="H498" s="4" t="s">
        <v>21</v>
      </c>
      <c r="I498" s="2" t="s">
        <v>927</v>
      </c>
      <c r="J498" s="2" t="s">
        <v>2184</v>
      </c>
      <c r="K498" s="2" t="s">
        <v>2185</v>
      </c>
    </row>
    <row r="499" customFormat="false" ht="15" hidden="false" customHeight="false" outlineLevel="0" collapsed="false">
      <c r="A499" s="2" t="n">
        <v>498</v>
      </c>
      <c r="B499" s="2" t="s">
        <v>2186</v>
      </c>
      <c r="C499" s="2" t="s">
        <v>2187</v>
      </c>
      <c r="D499" s="2" t="s">
        <v>20</v>
      </c>
      <c r="E499" s="2" t="s">
        <v>14</v>
      </c>
      <c r="F499" s="2" t="n">
        <v>1</v>
      </c>
      <c r="G499" s="2"/>
      <c r="H499" s="4" t="s">
        <v>21</v>
      </c>
      <c r="I499" s="2" t="s">
        <v>2188</v>
      </c>
      <c r="J499" s="2" t="s">
        <v>2189</v>
      </c>
      <c r="K499" s="2" t="s">
        <v>2190</v>
      </c>
    </row>
    <row r="500" customFormat="false" ht="15" hidden="false" customHeight="false" outlineLevel="0" collapsed="false">
      <c r="A500" s="2" t="n">
        <v>499</v>
      </c>
      <c r="B500" s="2" t="s">
        <v>2191</v>
      </c>
      <c r="C500" s="2" t="s">
        <v>1263</v>
      </c>
      <c r="D500" s="2" t="s">
        <v>13</v>
      </c>
      <c r="E500" s="2" t="s">
        <v>14</v>
      </c>
      <c r="F500" s="2" t="n">
        <v>1</v>
      </c>
      <c r="G500" s="2"/>
      <c r="H500" s="4" t="s">
        <v>21</v>
      </c>
      <c r="I500" s="2" t="s">
        <v>2192</v>
      </c>
      <c r="J500" s="2" t="s">
        <v>2193</v>
      </c>
      <c r="K500" s="2" t="s">
        <v>2194</v>
      </c>
    </row>
    <row r="501" customFormat="false" ht="15" hidden="false" customHeight="false" outlineLevel="0" collapsed="false">
      <c r="A501" s="2" t="n">
        <v>500</v>
      </c>
      <c r="B501" s="2" t="s">
        <v>2195</v>
      </c>
      <c r="C501" s="2" t="s">
        <v>2196</v>
      </c>
      <c r="D501" s="2" t="s">
        <v>42</v>
      </c>
      <c r="E501" s="2" t="s">
        <v>43</v>
      </c>
      <c r="F501" s="2" t="n">
        <v>1</v>
      </c>
      <c r="G501" s="2" t="s">
        <v>2197</v>
      </c>
      <c r="H501" s="4" t="s">
        <v>21</v>
      </c>
      <c r="I501" s="2" t="s">
        <v>2198</v>
      </c>
      <c r="J501" s="2" t="s">
        <v>2199</v>
      </c>
      <c r="K501" s="2" t="s">
        <v>2200</v>
      </c>
    </row>
    <row r="502" customFormat="false" ht="15" hidden="false" customHeight="false" outlineLevel="0" collapsed="false">
      <c r="A502" s="2" t="n">
        <v>501</v>
      </c>
      <c r="B502" s="2" t="s">
        <v>2201</v>
      </c>
      <c r="C502" s="2" t="s">
        <v>1513</v>
      </c>
      <c r="D502" s="2" t="s">
        <v>20</v>
      </c>
      <c r="E502" s="2" t="s">
        <v>14</v>
      </c>
      <c r="F502" s="2" t="n">
        <v>1</v>
      </c>
      <c r="G502" s="2"/>
      <c r="H502" s="3" t="s">
        <v>15</v>
      </c>
      <c r="I502" s="2"/>
      <c r="J502" s="2" t="s">
        <v>2202</v>
      </c>
      <c r="K502" s="2"/>
    </row>
    <row r="503" customFormat="false" ht="15" hidden="false" customHeight="false" outlineLevel="0" collapsed="false">
      <c r="A503" s="2" t="n">
        <v>502</v>
      </c>
      <c r="B503" s="2" t="s">
        <v>2201</v>
      </c>
      <c r="C503" s="2" t="s">
        <v>2203</v>
      </c>
      <c r="D503" s="2" t="s">
        <v>13</v>
      </c>
      <c r="E503" s="2" t="s">
        <v>14</v>
      </c>
      <c r="F503" s="2" t="n">
        <v>1</v>
      </c>
      <c r="G503" s="2"/>
      <c r="H503" s="4" t="s">
        <v>21</v>
      </c>
      <c r="I503" s="2" t="s">
        <v>710</v>
      </c>
      <c r="J503" s="2" t="s">
        <v>2204</v>
      </c>
      <c r="K503" s="2" t="s">
        <v>2205</v>
      </c>
    </row>
    <row r="504" customFormat="false" ht="15" hidden="false" customHeight="false" outlineLevel="0" collapsed="false">
      <c r="A504" s="2" t="n">
        <v>503</v>
      </c>
      <c r="B504" s="2" t="s">
        <v>2206</v>
      </c>
      <c r="C504" s="2" t="s">
        <v>1674</v>
      </c>
      <c r="D504" s="2" t="s">
        <v>42</v>
      </c>
      <c r="E504" s="2" t="s">
        <v>43</v>
      </c>
      <c r="F504" s="2" t="n">
        <v>1</v>
      </c>
      <c r="G504" s="2" t="s">
        <v>2207</v>
      </c>
      <c r="H504" s="5" t="s">
        <v>45</v>
      </c>
      <c r="I504" s="2" t="s">
        <v>2208</v>
      </c>
      <c r="J504" s="2" t="s">
        <v>47</v>
      </c>
      <c r="K504" s="2"/>
    </row>
    <row r="505" customFormat="false" ht="15" hidden="false" customHeight="false" outlineLevel="0" collapsed="false">
      <c r="A505" s="2" t="n">
        <v>504</v>
      </c>
      <c r="B505" s="2" t="s">
        <v>2209</v>
      </c>
      <c r="C505" s="2" t="s">
        <v>2210</v>
      </c>
      <c r="D505" s="2" t="s">
        <v>98</v>
      </c>
      <c r="E505" s="2" t="s">
        <v>14</v>
      </c>
      <c r="F505" s="2" t="n">
        <v>2</v>
      </c>
      <c r="G505" s="2"/>
      <c r="H505" s="4" t="s">
        <v>21</v>
      </c>
      <c r="I505" s="2" t="s">
        <v>2211</v>
      </c>
      <c r="J505" s="2" t="s">
        <v>2212</v>
      </c>
      <c r="K505" s="2" t="s">
        <v>2213</v>
      </c>
    </row>
    <row r="506" customFormat="false" ht="15" hidden="false" customHeight="false" outlineLevel="0" collapsed="false">
      <c r="A506" s="2" t="n">
        <v>505</v>
      </c>
      <c r="B506" s="2" t="s">
        <v>2214</v>
      </c>
      <c r="C506" s="2" t="s">
        <v>2215</v>
      </c>
      <c r="D506" s="2" t="s">
        <v>258</v>
      </c>
      <c r="E506" s="2" t="s">
        <v>43</v>
      </c>
      <c r="F506" s="2" t="n">
        <v>3</v>
      </c>
      <c r="G506" s="2" t="s">
        <v>2216</v>
      </c>
      <c r="H506" s="4" t="s">
        <v>21</v>
      </c>
      <c r="I506" s="2" t="s">
        <v>216</v>
      </c>
      <c r="J506" s="2" t="s">
        <v>2217</v>
      </c>
      <c r="K506" s="2" t="s">
        <v>2218</v>
      </c>
    </row>
    <row r="507" customFormat="false" ht="15" hidden="false" customHeight="false" outlineLevel="0" collapsed="false">
      <c r="A507" s="2" t="n">
        <v>506</v>
      </c>
      <c r="B507" s="2" t="s">
        <v>2214</v>
      </c>
      <c r="C507" s="2" t="s">
        <v>2219</v>
      </c>
      <c r="D507" s="2" t="s">
        <v>61</v>
      </c>
      <c r="E507" s="2" t="s">
        <v>43</v>
      </c>
      <c r="F507" s="2" t="n">
        <v>2</v>
      </c>
      <c r="G507" s="2" t="s">
        <v>2220</v>
      </c>
      <c r="H507" s="4" t="s">
        <v>21</v>
      </c>
      <c r="I507" s="2" t="s">
        <v>768</v>
      </c>
      <c r="J507" s="2" t="s">
        <v>2221</v>
      </c>
      <c r="K507" s="2" t="s">
        <v>2222</v>
      </c>
    </row>
    <row r="508" customFormat="false" ht="15" hidden="false" customHeight="false" outlineLevel="0" collapsed="false">
      <c r="A508" s="2" t="n">
        <v>507</v>
      </c>
      <c r="B508" s="2" t="s">
        <v>2223</v>
      </c>
      <c r="C508" s="2" t="s">
        <v>2224</v>
      </c>
      <c r="D508" s="2" t="s">
        <v>13</v>
      </c>
      <c r="E508" s="2" t="s">
        <v>14</v>
      </c>
      <c r="F508" s="2" t="n">
        <v>1</v>
      </c>
      <c r="G508" s="2"/>
      <c r="H508" s="4" t="s">
        <v>21</v>
      </c>
      <c r="I508" s="2" t="s">
        <v>2225</v>
      </c>
      <c r="J508" s="2" t="s">
        <v>2226</v>
      </c>
      <c r="K508" s="2" t="s">
        <v>2227</v>
      </c>
    </row>
    <row r="509" customFormat="false" ht="15" hidden="false" customHeight="false" outlineLevel="0" collapsed="false">
      <c r="A509" s="2" t="n">
        <v>508</v>
      </c>
      <c r="B509" s="2" t="s">
        <v>2223</v>
      </c>
      <c r="C509" s="2" t="s">
        <v>383</v>
      </c>
      <c r="D509" s="2" t="s">
        <v>20</v>
      </c>
      <c r="E509" s="2" t="s">
        <v>14</v>
      </c>
      <c r="F509" s="2" t="n">
        <v>1</v>
      </c>
      <c r="G509" s="2"/>
      <c r="H509" s="5" t="s">
        <v>45</v>
      </c>
      <c r="I509" s="2" t="s">
        <v>2228</v>
      </c>
      <c r="J509" s="2" t="s">
        <v>2229</v>
      </c>
      <c r="K509" s="2" t="s">
        <v>2230</v>
      </c>
    </row>
    <row r="510" customFormat="false" ht="15" hidden="false" customHeight="false" outlineLevel="0" collapsed="false">
      <c r="A510" s="2" t="n">
        <v>509</v>
      </c>
      <c r="B510" s="2" t="s">
        <v>2231</v>
      </c>
      <c r="C510" s="2" t="s">
        <v>201</v>
      </c>
      <c r="D510" s="2" t="s">
        <v>61</v>
      </c>
      <c r="E510" s="2" t="s">
        <v>43</v>
      </c>
      <c r="F510" s="2" t="n">
        <v>1</v>
      </c>
      <c r="G510" s="2" t="s">
        <v>2232</v>
      </c>
      <c r="H510" s="4" t="s">
        <v>21</v>
      </c>
      <c r="I510" s="2" t="s">
        <v>768</v>
      </c>
      <c r="J510" s="2" t="s">
        <v>2233</v>
      </c>
      <c r="K510" s="2" t="s">
        <v>2234</v>
      </c>
    </row>
    <row r="511" customFormat="false" ht="15" hidden="false" customHeight="false" outlineLevel="0" collapsed="false">
      <c r="A511" s="2" t="n">
        <v>510</v>
      </c>
      <c r="B511" s="2" t="s">
        <v>2235</v>
      </c>
      <c r="C511" s="2" t="s">
        <v>2236</v>
      </c>
      <c r="D511" s="2" t="s">
        <v>13</v>
      </c>
      <c r="E511" s="2" t="s">
        <v>14</v>
      </c>
      <c r="F511" s="2" t="n">
        <v>1</v>
      </c>
      <c r="G511" s="2"/>
      <c r="H511" s="4" t="s">
        <v>21</v>
      </c>
      <c r="I511" s="2" t="s">
        <v>119</v>
      </c>
      <c r="J511" s="2" t="s">
        <v>2237</v>
      </c>
      <c r="K511" s="2" t="s">
        <v>121</v>
      </c>
    </row>
    <row r="512" customFormat="false" ht="15" hidden="false" customHeight="false" outlineLevel="0" collapsed="false">
      <c r="A512" s="2" t="n">
        <v>511</v>
      </c>
      <c r="B512" s="2" t="s">
        <v>2238</v>
      </c>
      <c r="C512" s="2" t="s">
        <v>2239</v>
      </c>
      <c r="D512" s="2" t="s">
        <v>13</v>
      </c>
      <c r="E512" s="2" t="s">
        <v>14</v>
      </c>
      <c r="F512" s="2" t="n">
        <v>2</v>
      </c>
      <c r="G512" s="2"/>
      <c r="H512" s="4" t="s">
        <v>21</v>
      </c>
      <c r="I512" s="2" t="s">
        <v>176</v>
      </c>
      <c r="J512" s="2" t="s">
        <v>2240</v>
      </c>
      <c r="K512" s="2" t="s">
        <v>2241</v>
      </c>
    </row>
    <row r="513" customFormat="false" ht="15" hidden="false" customHeight="false" outlineLevel="0" collapsed="false">
      <c r="A513" s="2" t="n">
        <v>512</v>
      </c>
      <c r="B513" s="2" t="s">
        <v>2242</v>
      </c>
      <c r="C513" s="2" t="s">
        <v>2243</v>
      </c>
      <c r="D513" s="2" t="s">
        <v>13</v>
      </c>
      <c r="E513" s="2" t="s">
        <v>14</v>
      </c>
      <c r="F513" s="2" t="n">
        <v>2</v>
      </c>
      <c r="G513" s="2"/>
      <c r="H513" s="3" t="s">
        <v>15</v>
      </c>
      <c r="I513" s="2" t="s">
        <v>2244</v>
      </c>
      <c r="J513" s="2" t="s">
        <v>2245</v>
      </c>
      <c r="K513" s="2" t="s">
        <v>2246</v>
      </c>
    </row>
    <row r="514" customFormat="false" ht="15" hidden="false" customHeight="false" outlineLevel="0" collapsed="false">
      <c r="A514" s="2" t="n">
        <v>513</v>
      </c>
      <c r="B514" s="2" t="s">
        <v>2247</v>
      </c>
      <c r="C514" s="2" t="s">
        <v>2248</v>
      </c>
      <c r="D514" s="2" t="s">
        <v>20</v>
      </c>
      <c r="E514" s="2" t="s">
        <v>14</v>
      </c>
      <c r="F514" s="2" t="n">
        <v>1</v>
      </c>
      <c r="G514" s="2"/>
      <c r="H514" s="3" t="s">
        <v>15</v>
      </c>
      <c r="I514" s="2"/>
      <c r="J514" s="2" t="s">
        <v>2249</v>
      </c>
      <c r="K514" s="2"/>
    </row>
    <row r="515" customFormat="false" ht="15" hidden="false" customHeight="false" outlineLevel="0" collapsed="false">
      <c r="A515" s="2" t="n">
        <v>514</v>
      </c>
      <c r="B515" s="2" t="s">
        <v>2250</v>
      </c>
      <c r="C515" s="2" t="s">
        <v>2251</v>
      </c>
      <c r="D515" s="2" t="s">
        <v>20</v>
      </c>
      <c r="E515" s="2" t="s">
        <v>14</v>
      </c>
      <c r="F515" s="2" t="n">
        <v>1</v>
      </c>
      <c r="G515" s="2"/>
      <c r="H515" s="4" t="s">
        <v>21</v>
      </c>
      <c r="I515" s="2" t="s">
        <v>492</v>
      </c>
      <c r="J515" s="2" t="s">
        <v>2252</v>
      </c>
      <c r="K515" s="2" t="s">
        <v>2253</v>
      </c>
    </row>
    <row r="516" customFormat="false" ht="15" hidden="false" customHeight="false" outlineLevel="0" collapsed="false">
      <c r="A516" s="2" t="n">
        <v>515</v>
      </c>
      <c r="B516" s="2" t="s">
        <v>2254</v>
      </c>
      <c r="C516" s="2" t="s">
        <v>2255</v>
      </c>
      <c r="D516" s="2" t="s">
        <v>13</v>
      </c>
      <c r="E516" s="2" t="s">
        <v>14</v>
      </c>
      <c r="F516" s="2" t="n">
        <v>2</v>
      </c>
      <c r="G516" s="2"/>
      <c r="H516" s="4" t="s">
        <v>21</v>
      </c>
      <c r="I516" s="2" t="s">
        <v>1356</v>
      </c>
      <c r="J516" s="2" t="s">
        <v>2256</v>
      </c>
      <c r="K516" s="2" t="s">
        <v>2257</v>
      </c>
    </row>
    <row r="517" customFormat="false" ht="15" hidden="false" customHeight="false" outlineLevel="0" collapsed="false">
      <c r="A517" s="2" t="n">
        <v>516</v>
      </c>
      <c r="B517" s="2" t="s">
        <v>2254</v>
      </c>
      <c r="C517" s="2" t="s">
        <v>175</v>
      </c>
      <c r="D517" s="2" t="s">
        <v>13</v>
      </c>
      <c r="E517" s="2" t="s">
        <v>14</v>
      </c>
      <c r="F517" s="2" t="n">
        <v>1</v>
      </c>
      <c r="G517" s="2"/>
      <c r="H517" s="4" t="s">
        <v>21</v>
      </c>
      <c r="I517" s="2" t="s">
        <v>2258</v>
      </c>
      <c r="J517" s="2" t="s">
        <v>2259</v>
      </c>
      <c r="K517" s="2" t="s">
        <v>2260</v>
      </c>
    </row>
    <row r="518" customFormat="false" ht="15" hidden="false" customHeight="false" outlineLevel="0" collapsed="false">
      <c r="A518" s="2" t="n">
        <v>517</v>
      </c>
      <c r="B518" s="2" t="s">
        <v>2261</v>
      </c>
      <c r="C518" s="2" t="s">
        <v>2262</v>
      </c>
      <c r="D518" s="2" t="s">
        <v>258</v>
      </c>
      <c r="E518" s="2" t="s">
        <v>43</v>
      </c>
      <c r="F518" s="2" t="n">
        <v>4</v>
      </c>
      <c r="G518" s="2" t="s">
        <v>2263</v>
      </c>
      <c r="H518" s="4" t="s">
        <v>21</v>
      </c>
      <c r="I518" s="2" t="s">
        <v>2264</v>
      </c>
      <c r="J518" s="2" t="s">
        <v>2265</v>
      </c>
      <c r="K518" s="2" t="s">
        <v>2266</v>
      </c>
    </row>
    <row r="519" customFormat="false" ht="15" hidden="false" customHeight="false" outlineLevel="0" collapsed="false">
      <c r="A519" s="2" t="n">
        <v>518</v>
      </c>
      <c r="B519" s="2" t="s">
        <v>2267</v>
      </c>
      <c r="C519" s="2" t="s">
        <v>2268</v>
      </c>
      <c r="D519" s="2" t="s">
        <v>61</v>
      </c>
      <c r="E519" s="2" t="s">
        <v>43</v>
      </c>
      <c r="F519" s="2" t="n">
        <v>1</v>
      </c>
      <c r="G519" s="2" t="s">
        <v>2269</v>
      </c>
      <c r="H519" s="4" t="s">
        <v>21</v>
      </c>
      <c r="I519" s="2" t="s">
        <v>216</v>
      </c>
      <c r="J519" s="2" t="s">
        <v>2270</v>
      </c>
      <c r="K519" s="2" t="s">
        <v>2271</v>
      </c>
    </row>
    <row r="520" customFormat="false" ht="15" hidden="false" customHeight="false" outlineLevel="0" collapsed="false">
      <c r="A520" s="2" t="n">
        <v>519</v>
      </c>
      <c r="B520" s="2" t="s">
        <v>2272</v>
      </c>
      <c r="C520" s="2" t="s">
        <v>2273</v>
      </c>
      <c r="D520" s="2" t="s">
        <v>20</v>
      </c>
      <c r="E520" s="2" t="s">
        <v>14</v>
      </c>
      <c r="F520" s="2" t="n">
        <v>3</v>
      </c>
      <c r="G520" s="2"/>
      <c r="H520" s="3" t="s">
        <v>15</v>
      </c>
      <c r="I520" s="2" t="s">
        <v>16</v>
      </c>
      <c r="J520" s="2" t="s">
        <v>2274</v>
      </c>
      <c r="K520" s="2"/>
    </row>
    <row r="521" customFormat="false" ht="15" hidden="false" customHeight="false" outlineLevel="0" collapsed="false">
      <c r="A521" s="2" t="n">
        <v>520</v>
      </c>
      <c r="B521" s="2" t="s">
        <v>2272</v>
      </c>
      <c r="C521" s="2" t="s">
        <v>591</v>
      </c>
      <c r="D521" s="2" t="s">
        <v>13</v>
      </c>
      <c r="E521" s="2" t="s">
        <v>14</v>
      </c>
      <c r="F521" s="2" t="n">
        <v>1</v>
      </c>
      <c r="G521" s="2"/>
      <c r="H521" s="4" t="s">
        <v>21</v>
      </c>
      <c r="I521" s="2" t="s">
        <v>2275</v>
      </c>
      <c r="J521" s="2" t="s">
        <v>2276</v>
      </c>
      <c r="K521" s="2" t="s">
        <v>2277</v>
      </c>
    </row>
    <row r="522" customFormat="false" ht="15" hidden="false" customHeight="false" outlineLevel="0" collapsed="false">
      <c r="A522" s="2" t="n">
        <v>521</v>
      </c>
      <c r="B522" s="2" t="s">
        <v>2278</v>
      </c>
      <c r="C522" s="2" t="s">
        <v>157</v>
      </c>
      <c r="D522" s="2" t="s">
        <v>20</v>
      </c>
      <c r="E522" s="2" t="s">
        <v>14</v>
      </c>
      <c r="F522" s="2" t="n">
        <v>1</v>
      </c>
      <c r="G522" s="2"/>
      <c r="H522" s="5" t="s">
        <v>45</v>
      </c>
      <c r="I522" s="2" t="s">
        <v>2279</v>
      </c>
      <c r="J522" s="2" t="s">
        <v>2280</v>
      </c>
      <c r="K522" s="2" t="s">
        <v>2281</v>
      </c>
    </row>
    <row r="523" customFormat="false" ht="15" hidden="false" customHeight="false" outlineLevel="0" collapsed="false">
      <c r="A523" s="2" t="n">
        <v>522</v>
      </c>
      <c r="B523" s="2" t="s">
        <v>2282</v>
      </c>
      <c r="C523" s="2" t="s">
        <v>2283</v>
      </c>
      <c r="D523" s="2" t="s">
        <v>42</v>
      </c>
      <c r="E523" s="2" t="s">
        <v>43</v>
      </c>
      <c r="F523" s="2" t="n">
        <v>1</v>
      </c>
      <c r="G523" s="2" t="s">
        <v>2284</v>
      </c>
      <c r="H523" s="5" t="s">
        <v>45</v>
      </c>
      <c r="I523" s="2" t="s">
        <v>2285</v>
      </c>
      <c r="J523" s="2" t="s">
        <v>47</v>
      </c>
      <c r="K523" s="2"/>
    </row>
    <row r="524" customFormat="false" ht="15" hidden="false" customHeight="false" outlineLevel="0" collapsed="false">
      <c r="A524" s="2" t="n">
        <v>523</v>
      </c>
      <c r="B524" s="2" t="s">
        <v>2286</v>
      </c>
      <c r="C524" s="2" t="s">
        <v>201</v>
      </c>
      <c r="D524" s="2" t="s">
        <v>20</v>
      </c>
      <c r="E524" s="2" t="s">
        <v>14</v>
      </c>
      <c r="F524" s="2" t="n">
        <v>1</v>
      </c>
      <c r="G524" s="2"/>
      <c r="H524" s="5" t="s">
        <v>45</v>
      </c>
      <c r="I524" s="2" t="s">
        <v>2287</v>
      </c>
      <c r="J524" s="2" t="s">
        <v>2288</v>
      </c>
      <c r="K524" s="2" t="s">
        <v>2289</v>
      </c>
    </row>
    <row r="525" customFormat="false" ht="15" hidden="false" customHeight="false" outlineLevel="0" collapsed="false">
      <c r="A525" s="2" t="n">
        <v>524</v>
      </c>
      <c r="B525" s="2" t="s">
        <v>2290</v>
      </c>
      <c r="C525" s="2" t="s">
        <v>957</v>
      </c>
      <c r="D525" s="2" t="s">
        <v>258</v>
      </c>
      <c r="E525" s="2" t="s">
        <v>43</v>
      </c>
      <c r="F525" s="2" t="n">
        <v>2</v>
      </c>
      <c r="G525" s="2" t="s">
        <v>2291</v>
      </c>
      <c r="H525" s="4" t="s">
        <v>21</v>
      </c>
      <c r="I525" s="2" t="s">
        <v>1211</v>
      </c>
      <c r="J525" s="2" t="s">
        <v>2292</v>
      </c>
      <c r="K525" s="2" t="s">
        <v>2293</v>
      </c>
    </row>
    <row r="526" customFormat="false" ht="15" hidden="false" customHeight="false" outlineLevel="0" collapsed="false">
      <c r="A526" s="2" t="n">
        <v>525</v>
      </c>
      <c r="B526" s="2" t="s">
        <v>2294</v>
      </c>
      <c r="C526" s="2" t="s">
        <v>1650</v>
      </c>
      <c r="D526" s="2" t="s">
        <v>61</v>
      </c>
      <c r="E526" s="2" t="s">
        <v>43</v>
      </c>
      <c r="F526" s="2" t="n">
        <v>1</v>
      </c>
      <c r="G526" s="2" t="s">
        <v>2295</v>
      </c>
      <c r="H526" s="4" t="s">
        <v>21</v>
      </c>
      <c r="I526" s="2" t="s">
        <v>2296</v>
      </c>
      <c r="J526" s="2" t="s">
        <v>2297</v>
      </c>
      <c r="K526" s="2" t="s">
        <v>2298</v>
      </c>
    </row>
    <row r="527" customFormat="false" ht="15" hidden="false" customHeight="false" outlineLevel="0" collapsed="false">
      <c r="A527" s="2" t="n">
        <v>526</v>
      </c>
      <c r="B527" s="2" t="s">
        <v>2299</v>
      </c>
      <c r="C527" s="2" t="s">
        <v>1727</v>
      </c>
      <c r="D527" s="2" t="s">
        <v>13</v>
      </c>
      <c r="E527" s="2" t="s">
        <v>14</v>
      </c>
      <c r="F527" s="2" t="n">
        <v>1</v>
      </c>
      <c r="G527" s="2"/>
      <c r="H527" s="4" t="s">
        <v>21</v>
      </c>
      <c r="I527" s="2" t="s">
        <v>2300</v>
      </c>
      <c r="J527" s="2" t="s">
        <v>2301</v>
      </c>
      <c r="K527" s="2" t="s">
        <v>2302</v>
      </c>
    </row>
    <row r="528" customFormat="false" ht="15" hidden="false" customHeight="false" outlineLevel="0" collapsed="false">
      <c r="A528" s="2" t="n">
        <v>527</v>
      </c>
      <c r="B528" s="2" t="s">
        <v>2303</v>
      </c>
      <c r="C528" s="2" t="s">
        <v>627</v>
      </c>
      <c r="D528" s="2" t="s">
        <v>13</v>
      </c>
      <c r="E528" s="2" t="s">
        <v>14</v>
      </c>
      <c r="F528" s="2" t="n">
        <v>2</v>
      </c>
      <c r="G528" s="2"/>
      <c r="H528" s="4" t="s">
        <v>21</v>
      </c>
      <c r="I528" s="2" t="s">
        <v>2304</v>
      </c>
      <c r="J528" s="2" t="s">
        <v>2305</v>
      </c>
      <c r="K528" s="2" t="s">
        <v>2306</v>
      </c>
    </row>
    <row r="529" customFormat="false" ht="15" hidden="false" customHeight="false" outlineLevel="0" collapsed="false">
      <c r="A529" s="2" t="n">
        <v>528</v>
      </c>
      <c r="B529" s="2" t="s">
        <v>2303</v>
      </c>
      <c r="C529" s="2" t="s">
        <v>2307</v>
      </c>
      <c r="D529" s="2" t="s">
        <v>13</v>
      </c>
      <c r="E529" s="2" t="s">
        <v>14</v>
      </c>
      <c r="F529" s="2" t="n">
        <v>1</v>
      </c>
      <c r="G529" s="2"/>
      <c r="H529" s="3" t="s">
        <v>15</v>
      </c>
      <c r="I529" s="2" t="s">
        <v>16</v>
      </c>
      <c r="J529" s="2" t="s">
        <v>2308</v>
      </c>
      <c r="K529" s="2"/>
    </row>
    <row r="530" customFormat="false" ht="15" hidden="false" customHeight="false" outlineLevel="0" collapsed="false">
      <c r="A530" s="2" t="n">
        <v>529</v>
      </c>
      <c r="B530" s="2" t="s">
        <v>2303</v>
      </c>
      <c r="C530" s="2" t="s">
        <v>1089</v>
      </c>
      <c r="D530" s="2" t="s">
        <v>13</v>
      </c>
      <c r="E530" s="2" t="s">
        <v>14</v>
      </c>
      <c r="F530" s="2" t="n">
        <v>2</v>
      </c>
      <c r="G530" s="2"/>
      <c r="H530" s="3" t="s">
        <v>15</v>
      </c>
      <c r="I530" s="2" t="s">
        <v>2309</v>
      </c>
      <c r="J530" s="2" t="s">
        <v>2310</v>
      </c>
      <c r="K530" s="2" t="s">
        <v>2311</v>
      </c>
    </row>
    <row r="531" customFormat="false" ht="15" hidden="false" customHeight="false" outlineLevel="0" collapsed="false">
      <c r="A531" s="2" t="n">
        <v>530</v>
      </c>
      <c r="B531" s="2" t="s">
        <v>2312</v>
      </c>
      <c r="C531" s="2" t="s">
        <v>2273</v>
      </c>
      <c r="D531" s="2" t="s">
        <v>42</v>
      </c>
      <c r="E531" s="2" t="s">
        <v>43</v>
      </c>
      <c r="F531" s="2" t="n">
        <v>1</v>
      </c>
      <c r="G531" s="2" t="s">
        <v>2313</v>
      </c>
      <c r="H531" s="5" t="s">
        <v>45</v>
      </c>
      <c r="I531" s="2" t="s">
        <v>2314</v>
      </c>
      <c r="J531" s="2" t="s">
        <v>2315</v>
      </c>
      <c r="K531" s="2" t="s">
        <v>2316</v>
      </c>
    </row>
    <row r="532" customFormat="false" ht="15" hidden="false" customHeight="false" outlineLevel="0" collapsed="false">
      <c r="A532" s="2" t="n">
        <v>531</v>
      </c>
      <c r="B532" s="2" t="s">
        <v>2317</v>
      </c>
      <c r="C532" s="2" t="s">
        <v>297</v>
      </c>
      <c r="D532" s="2" t="s">
        <v>258</v>
      </c>
      <c r="E532" s="2" t="s">
        <v>43</v>
      </c>
      <c r="F532" s="2" t="n">
        <v>2</v>
      </c>
      <c r="G532" s="2" t="s">
        <v>2318</v>
      </c>
      <c r="H532" s="4" t="s">
        <v>21</v>
      </c>
      <c r="I532" s="2" t="s">
        <v>435</v>
      </c>
      <c r="J532" s="2" t="s">
        <v>2319</v>
      </c>
      <c r="K532" s="2" t="s">
        <v>2320</v>
      </c>
    </row>
    <row r="533" customFormat="false" ht="15" hidden="false" customHeight="false" outlineLevel="0" collapsed="false">
      <c r="A533" s="2" t="n">
        <v>532</v>
      </c>
      <c r="B533" s="2" t="s">
        <v>2321</v>
      </c>
      <c r="C533" s="2" t="s">
        <v>2322</v>
      </c>
      <c r="D533" s="2" t="s">
        <v>13</v>
      </c>
      <c r="E533" s="2" t="s">
        <v>14</v>
      </c>
      <c r="F533" s="2" t="n">
        <v>1</v>
      </c>
      <c r="G533" s="2"/>
      <c r="H533" s="3" t="s">
        <v>15</v>
      </c>
      <c r="I533" s="2" t="s">
        <v>16</v>
      </c>
      <c r="J533" s="2" t="s">
        <v>2323</v>
      </c>
      <c r="K533" s="2"/>
    </row>
    <row r="534" customFormat="false" ht="15" hidden="false" customHeight="false" outlineLevel="0" collapsed="false">
      <c r="A534" s="2" t="n">
        <v>533</v>
      </c>
      <c r="B534" s="2" t="s">
        <v>1124</v>
      </c>
      <c r="C534" s="2" t="s">
        <v>2324</v>
      </c>
      <c r="D534" s="2" t="s">
        <v>42</v>
      </c>
      <c r="E534" s="2" t="s">
        <v>43</v>
      </c>
      <c r="F534" s="2" t="n">
        <v>1</v>
      </c>
      <c r="G534" s="2" t="s">
        <v>2325</v>
      </c>
      <c r="H534" s="5" t="s">
        <v>45</v>
      </c>
      <c r="I534" s="2" t="s">
        <v>1842</v>
      </c>
      <c r="J534" s="2" t="s">
        <v>47</v>
      </c>
      <c r="K534" s="2"/>
    </row>
    <row r="535" customFormat="false" ht="15" hidden="false" customHeight="false" outlineLevel="0" collapsed="false">
      <c r="A535" s="2" t="n">
        <v>534</v>
      </c>
      <c r="B535" s="2" t="s">
        <v>2326</v>
      </c>
      <c r="C535" s="2" t="s">
        <v>2327</v>
      </c>
      <c r="D535" s="2" t="s">
        <v>13</v>
      </c>
      <c r="E535" s="2" t="s">
        <v>14</v>
      </c>
      <c r="F535" s="2" t="n">
        <v>3</v>
      </c>
      <c r="G535" s="2"/>
      <c r="H535" s="4" t="s">
        <v>21</v>
      </c>
      <c r="I535" s="2" t="s">
        <v>2328</v>
      </c>
      <c r="J535" s="2" t="s">
        <v>2329</v>
      </c>
      <c r="K535" s="2" t="s">
        <v>2330</v>
      </c>
    </row>
    <row r="536" customFormat="false" ht="15" hidden="false" customHeight="false" outlineLevel="0" collapsed="false">
      <c r="A536" s="2" t="n">
        <v>535</v>
      </c>
      <c r="B536" s="2" t="s">
        <v>2331</v>
      </c>
      <c r="C536" s="2" t="s">
        <v>2332</v>
      </c>
      <c r="D536" s="2" t="s">
        <v>13</v>
      </c>
      <c r="E536" s="2" t="s">
        <v>14</v>
      </c>
      <c r="F536" s="2" t="n">
        <v>1</v>
      </c>
      <c r="G536" s="2"/>
      <c r="H536" s="4" t="s">
        <v>21</v>
      </c>
      <c r="I536" s="2" t="s">
        <v>2333</v>
      </c>
      <c r="J536" s="2" t="s">
        <v>2334</v>
      </c>
      <c r="K536" s="2" t="s">
        <v>2335</v>
      </c>
    </row>
    <row r="537" customFormat="false" ht="15" hidden="false" customHeight="false" outlineLevel="0" collapsed="false">
      <c r="A537" s="2" t="n">
        <v>536</v>
      </c>
      <c r="B537" s="2" t="s">
        <v>2336</v>
      </c>
      <c r="C537" s="2" t="s">
        <v>2337</v>
      </c>
      <c r="D537" s="2" t="s">
        <v>13</v>
      </c>
      <c r="E537" s="2" t="s">
        <v>14</v>
      </c>
      <c r="F537" s="2" t="n">
        <v>1</v>
      </c>
      <c r="G537" s="2"/>
      <c r="H537" s="3" t="s">
        <v>15</v>
      </c>
      <c r="I537" s="2" t="s">
        <v>2338</v>
      </c>
      <c r="J537" s="2" t="s">
        <v>2339</v>
      </c>
      <c r="K537" s="2" t="s">
        <v>2340</v>
      </c>
    </row>
    <row r="538" customFormat="false" ht="15" hidden="false" customHeight="false" outlineLevel="0" collapsed="false">
      <c r="A538" s="2" t="n">
        <v>537</v>
      </c>
      <c r="B538" s="2" t="s">
        <v>2341</v>
      </c>
      <c r="C538" s="2" t="s">
        <v>1280</v>
      </c>
      <c r="D538" s="2" t="s">
        <v>13</v>
      </c>
      <c r="E538" s="2" t="s">
        <v>14</v>
      </c>
      <c r="F538" s="2" t="n">
        <v>2</v>
      </c>
      <c r="G538" s="2"/>
      <c r="H538" s="4" t="s">
        <v>21</v>
      </c>
      <c r="I538" s="2" t="s">
        <v>2342</v>
      </c>
      <c r="J538" s="2" t="s">
        <v>2343</v>
      </c>
      <c r="K538" s="2" t="s">
        <v>2344</v>
      </c>
    </row>
    <row r="539" customFormat="false" ht="15" hidden="false" customHeight="false" outlineLevel="0" collapsed="false">
      <c r="A539" s="2" t="n">
        <v>538</v>
      </c>
      <c r="B539" s="2" t="s">
        <v>2345</v>
      </c>
      <c r="C539" s="2" t="s">
        <v>689</v>
      </c>
      <c r="D539" s="2" t="s">
        <v>13</v>
      </c>
      <c r="E539" s="2" t="s">
        <v>14</v>
      </c>
      <c r="F539" s="2" t="n">
        <v>1</v>
      </c>
      <c r="G539" s="2"/>
      <c r="H539" s="4" t="s">
        <v>21</v>
      </c>
      <c r="I539" s="2" t="s">
        <v>2346</v>
      </c>
      <c r="J539" s="2" t="s">
        <v>2347</v>
      </c>
      <c r="K539" s="2" t="s">
        <v>2348</v>
      </c>
    </row>
    <row r="540" customFormat="false" ht="15" hidden="false" customHeight="false" outlineLevel="0" collapsed="false">
      <c r="A540" s="2" t="n">
        <v>539</v>
      </c>
      <c r="B540" s="2" t="s">
        <v>2349</v>
      </c>
      <c r="C540" s="2" t="s">
        <v>2350</v>
      </c>
      <c r="D540" s="2" t="s">
        <v>13</v>
      </c>
      <c r="E540" s="2" t="s">
        <v>14</v>
      </c>
      <c r="F540" s="2" t="n">
        <v>1</v>
      </c>
      <c r="G540" s="2"/>
      <c r="H540" s="4" t="s">
        <v>21</v>
      </c>
      <c r="I540" s="2" t="s">
        <v>497</v>
      </c>
      <c r="J540" s="2" t="s">
        <v>2351</v>
      </c>
      <c r="K540" s="2" t="s">
        <v>2352</v>
      </c>
    </row>
    <row r="541" customFormat="false" ht="15" hidden="false" customHeight="false" outlineLevel="0" collapsed="false">
      <c r="A541" s="2" t="n">
        <v>540</v>
      </c>
      <c r="B541" s="2" t="s">
        <v>2349</v>
      </c>
      <c r="C541" s="2" t="s">
        <v>2353</v>
      </c>
      <c r="D541" s="2" t="s">
        <v>61</v>
      </c>
      <c r="E541" s="2" t="s">
        <v>43</v>
      </c>
      <c r="F541" s="2" t="n">
        <v>2</v>
      </c>
      <c r="G541" s="2" t="s">
        <v>2354</v>
      </c>
      <c r="H541" s="4" t="s">
        <v>21</v>
      </c>
      <c r="I541" s="2" t="s">
        <v>497</v>
      </c>
      <c r="J541" s="2" t="s">
        <v>2355</v>
      </c>
      <c r="K541" s="2" t="s">
        <v>2356</v>
      </c>
    </row>
    <row r="542" customFormat="false" ht="15" hidden="false" customHeight="false" outlineLevel="0" collapsed="false">
      <c r="A542" s="2" t="n">
        <v>541</v>
      </c>
      <c r="B542" s="2" t="s">
        <v>2357</v>
      </c>
      <c r="C542" s="2" t="s">
        <v>2358</v>
      </c>
      <c r="D542" s="2" t="s">
        <v>42</v>
      </c>
      <c r="E542" s="2" t="s">
        <v>43</v>
      </c>
      <c r="F542" s="2" t="n">
        <v>1</v>
      </c>
      <c r="G542" s="2" t="s">
        <v>2359</v>
      </c>
      <c r="H542" s="3" t="s">
        <v>15</v>
      </c>
      <c r="I542" s="2" t="s">
        <v>2360</v>
      </c>
      <c r="J542" s="2" t="s">
        <v>2361</v>
      </c>
      <c r="K542" s="2" t="s">
        <v>2362</v>
      </c>
    </row>
    <row r="543" customFormat="false" ht="15" hidden="false" customHeight="false" outlineLevel="0" collapsed="false">
      <c r="A543" s="2" t="n">
        <v>542</v>
      </c>
      <c r="B543" s="2" t="s">
        <v>2363</v>
      </c>
      <c r="C543" s="2" t="s">
        <v>2364</v>
      </c>
      <c r="D543" s="2" t="s">
        <v>13</v>
      </c>
      <c r="E543" s="2" t="s">
        <v>14</v>
      </c>
      <c r="F543" s="2" t="n">
        <v>1</v>
      </c>
      <c r="G543" s="2"/>
      <c r="H543" s="3" t="s">
        <v>15</v>
      </c>
      <c r="I543" s="2" t="s">
        <v>16</v>
      </c>
      <c r="J543" s="2" t="s">
        <v>2365</v>
      </c>
      <c r="K543" s="2"/>
    </row>
    <row r="544" customFormat="false" ht="15" hidden="false" customHeight="false" outlineLevel="0" collapsed="false">
      <c r="A544" s="2" t="n">
        <v>543</v>
      </c>
      <c r="B544" s="2" t="s">
        <v>2366</v>
      </c>
      <c r="C544" s="2" t="s">
        <v>2367</v>
      </c>
      <c r="D544" s="2" t="s">
        <v>13</v>
      </c>
      <c r="E544" s="2" t="s">
        <v>14</v>
      </c>
      <c r="F544" s="2" t="n">
        <v>2</v>
      </c>
      <c r="G544" s="2"/>
      <c r="H544" s="3" t="s">
        <v>15</v>
      </c>
      <c r="I544" s="2" t="s">
        <v>2368</v>
      </c>
      <c r="J544" s="2" t="s">
        <v>2369</v>
      </c>
      <c r="K544" s="2" t="s">
        <v>2370</v>
      </c>
    </row>
    <row r="545" customFormat="false" ht="15" hidden="false" customHeight="false" outlineLevel="0" collapsed="false">
      <c r="A545" s="2" t="n">
        <v>544</v>
      </c>
      <c r="B545" s="2" t="s">
        <v>2371</v>
      </c>
      <c r="C545" s="2" t="s">
        <v>2372</v>
      </c>
      <c r="D545" s="2" t="s">
        <v>20</v>
      </c>
      <c r="E545" s="2" t="s">
        <v>14</v>
      </c>
      <c r="F545" s="2" t="n">
        <v>1</v>
      </c>
      <c r="G545" s="2"/>
      <c r="H545" s="5" t="s">
        <v>45</v>
      </c>
      <c r="I545" s="2" t="s">
        <v>2373</v>
      </c>
      <c r="J545" s="2" t="s">
        <v>2374</v>
      </c>
      <c r="K545" s="2" t="s">
        <v>2375</v>
      </c>
    </row>
    <row r="546" customFormat="false" ht="15" hidden="false" customHeight="false" outlineLevel="0" collapsed="false">
      <c r="A546" s="2" t="n">
        <v>545</v>
      </c>
      <c r="B546" s="2" t="s">
        <v>2376</v>
      </c>
      <c r="C546" s="2" t="s">
        <v>627</v>
      </c>
      <c r="D546" s="2" t="s">
        <v>13</v>
      </c>
      <c r="E546" s="2" t="s">
        <v>14</v>
      </c>
      <c r="F546" s="2" t="n">
        <v>1</v>
      </c>
      <c r="G546" s="2"/>
      <c r="H546" s="4" t="s">
        <v>21</v>
      </c>
      <c r="I546" s="2" t="s">
        <v>2377</v>
      </c>
      <c r="J546" s="2" t="s">
        <v>2378</v>
      </c>
      <c r="K546" s="2" t="s">
        <v>2379</v>
      </c>
    </row>
    <row r="547" customFormat="false" ht="15" hidden="false" customHeight="false" outlineLevel="0" collapsed="false">
      <c r="A547" s="2" t="n">
        <v>546</v>
      </c>
      <c r="B547" s="2" t="s">
        <v>2380</v>
      </c>
      <c r="C547" s="2" t="s">
        <v>2381</v>
      </c>
      <c r="D547" s="2" t="s">
        <v>20</v>
      </c>
      <c r="E547" s="2" t="s">
        <v>14</v>
      </c>
      <c r="F547" s="2" t="n">
        <v>1</v>
      </c>
      <c r="G547" s="2"/>
      <c r="H547" s="4" t="s">
        <v>21</v>
      </c>
      <c r="I547" s="2" t="s">
        <v>2382</v>
      </c>
      <c r="J547" s="2" t="s">
        <v>2383</v>
      </c>
      <c r="K547" s="2" t="s">
        <v>2384</v>
      </c>
    </row>
    <row r="548" customFormat="false" ht="15" hidden="false" customHeight="false" outlineLevel="0" collapsed="false">
      <c r="A548" s="2" t="n">
        <v>547</v>
      </c>
      <c r="B548" s="2" t="s">
        <v>2385</v>
      </c>
      <c r="C548" s="2" t="s">
        <v>2386</v>
      </c>
      <c r="D548" s="2" t="s">
        <v>20</v>
      </c>
      <c r="E548" s="2" t="s">
        <v>14</v>
      </c>
      <c r="F548" s="2" t="n">
        <v>1</v>
      </c>
      <c r="G548" s="2"/>
      <c r="H548" s="5" t="s">
        <v>45</v>
      </c>
      <c r="I548" s="2" t="s">
        <v>2387</v>
      </c>
      <c r="J548" s="2" t="s">
        <v>2388</v>
      </c>
      <c r="K548" s="2" t="s">
        <v>2389</v>
      </c>
    </row>
    <row r="549" customFormat="false" ht="15" hidden="false" customHeight="false" outlineLevel="0" collapsed="false">
      <c r="A549" s="2" t="n">
        <v>548</v>
      </c>
      <c r="B549" s="2" t="s">
        <v>2390</v>
      </c>
      <c r="C549" s="2" t="s">
        <v>2391</v>
      </c>
      <c r="D549" s="2" t="s">
        <v>98</v>
      </c>
      <c r="E549" s="2" t="s">
        <v>14</v>
      </c>
      <c r="F549" s="2" t="n">
        <v>8</v>
      </c>
      <c r="G549" s="2"/>
      <c r="H549" s="4" t="s">
        <v>21</v>
      </c>
      <c r="I549" s="2" t="s">
        <v>2392</v>
      </c>
      <c r="J549" s="2" t="s">
        <v>2393</v>
      </c>
      <c r="K549" s="2" t="s">
        <v>2394</v>
      </c>
    </row>
    <row r="550" customFormat="false" ht="15" hidden="false" customHeight="false" outlineLevel="0" collapsed="false">
      <c r="A550" s="2" t="n">
        <v>549</v>
      </c>
      <c r="B550" s="2" t="s">
        <v>2390</v>
      </c>
      <c r="C550" s="2" t="s">
        <v>2395</v>
      </c>
      <c r="D550" s="2" t="s">
        <v>98</v>
      </c>
      <c r="E550" s="2" t="s">
        <v>14</v>
      </c>
      <c r="F550" s="2" t="n">
        <v>2</v>
      </c>
      <c r="G550" s="2"/>
      <c r="H550" s="4" t="s">
        <v>21</v>
      </c>
      <c r="I550" s="2" t="s">
        <v>1036</v>
      </c>
      <c r="J550" s="2" t="s">
        <v>2396</v>
      </c>
      <c r="K550" s="2" t="s">
        <v>2397</v>
      </c>
    </row>
    <row r="551" customFormat="false" ht="15" hidden="false" customHeight="false" outlineLevel="0" collapsed="false">
      <c r="A551" s="2" t="n">
        <v>550</v>
      </c>
      <c r="B551" s="2" t="s">
        <v>2390</v>
      </c>
      <c r="C551" s="2" t="s">
        <v>2398</v>
      </c>
      <c r="D551" s="2" t="s">
        <v>61</v>
      </c>
      <c r="E551" s="2" t="s">
        <v>43</v>
      </c>
      <c r="F551" s="2" t="n">
        <v>1</v>
      </c>
      <c r="G551" s="2" t="s">
        <v>2399</v>
      </c>
      <c r="H551" s="4" t="s">
        <v>21</v>
      </c>
      <c r="I551" s="2" t="s">
        <v>2400</v>
      </c>
      <c r="J551" s="2" t="s">
        <v>2401</v>
      </c>
      <c r="K551" s="2" t="s">
        <v>2402</v>
      </c>
    </row>
    <row r="552" customFormat="false" ht="15" hidden="false" customHeight="false" outlineLevel="0" collapsed="false">
      <c r="A552" s="2" t="n">
        <v>551</v>
      </c>
      <c r="B552" s="2" t="s">
        <v>2390</v>
      </c>
      <c r="C552" s="2" t="s">
        <v>2403</v>
      </c>
      <c r="D552" s="2" t="s">
        <v>61</v>
      </c>
      <c r="E552" s="2" t="s">
        <v>43</v>
      </c>
      <c r="F552" s="2" t="n">
        <v>1</v>
      </c>
      <c r="G552" s="2" t="s">
        <v>2404</v>
      </c>
      <c r="H552" s="4" t="s">
        <v>21</v>
      </c>
      <c r="I552" s="2" t="s">
        <v>576</v>
      </c>
      <c r="J552" s="2" t="s">
        <v>2405</v>
      </c>
      <c r="K552" s="2" t="s">
        <v>2406</v>
      </c>
    </row>
    <row r="553" customFormat="false" ht="15" hidden="false" customHeight="false" outlineLevel="0" collapsed="false">
      <c r="A553" s="2" t="n">
        <v>552</v>
      </c>
      <c r="B553" s="2" t="s">
        <v>2407</v>
      </c>
      <c r="C553" s="2" t="s">
        <v>2408</v>
      </c>
      <c r="D553" s="2" t="s">
        <v>20</v>
      </c>
      <c r="E553" s="2" t="s">
        <v>14</v>
      </c>
      <c r="F553" s="2" t="n">
        <v>1</v>
      </c>
      <c r="G553" s="2"/>
      <c r="H553" s="3" t="s">
        <v>15</v>
      </c>
      <c r="I553" s="2" t="s">
        <v>16</v>
      </c>
      <c r="J553" s="2" t="s">
        <v>2409</v>
      </c>
      <c r="K553" s="2"/>
    </row>
    <row r="554" customFormat="false" ht="15" hidden="false" customHeight="false" outlineLevel="0" collapsed="false">
      <c r="A554" s="2" t="n">
        <v>553</v>
      </c>
      <c r="B554" s="2" t="s">
        <v>2410</v>
      </c>
      <c r="C554" s="2" t="s">
        <v>2411</v>
      </c>
      <c r="D554" s="2" t="s">
        <v>20</v>
      </c>
      <c r="E554" s="2" t="s">
        <v>14</v>
      </c>
      <c r="F554" s="2" t="n">
        <v>1</v>
      </c>
      <c r="G554" s="2"/>
      <c r="H554" s="5" t="s">
        <v>45</v>
      </c>
      <c r="I554" s="2" t="s">
        <v>2412</v>
      </c>
      <c r="J554" s="2" t="s">
        <v>2413</v>
      </c>
      <c r="K554" s="2" t="s">
        <v>2414</v>
      </c>
    </row>
    <row r="555" customFormat="false" ht="15" hidden="false" customHeight="false" outlineLevel="0" collapsed="false">
      <c r="A555" s="2" t="n">
        <v>554</v>
      </c>
      <c r="B555" s="2" t="s">
        <v>2415</v>
      </c>
      <c r="C555" s="2" t="s">
        <v>2210</v>
      </c>
      <c r="D555" s="2" t="s">
        <v>13</v>
      </c>
      <c r="E555" s="2" t="s">
        <v>14</v>
      </c>
      <c r="F555" s="2" t="n">
        <v>2</v>
      </c>
      <c r="G555" s="2"/>
      <c r="H555" s="3" t="s">
        <v>15</v>
      </c>
      <c r="I555" s="2" t="s">
        <v>2360</v>
      </c>
      <c r="J555" s="2" t="s">
        <v>2416</v>
      </c>
      <c r="K555" s="2" t="s">
        <v>2417</v>
      </c>
    </row>
    <row r="556" customFormat="false" ht="15" hidden="false" customHeight="false" outlineLevel="0" collapsed="false">
      <c r="A556" s="2" t="n">
        <v>555</v>
      </c>
      <c r="B556" s="2" t="s">
        <v>2418</v>
      </c>
      <c r="C556" s="2" t="s">
        <v>2419</v>
      </c>
      <c r="D556" s="2" t="s">
        <v>20</v>
      </c>
      <c r="E556" s="2" t="s">
        <v>14</v>
      </c>
      <c r="F556" s="2" t="n">
        <v>1</v>
      </c>
      <c r="G556" s="2"/>
      <c r="H556" s="5" t="s">
        <v>45</v>
      </c>
      <c r="I556" s="2" t="s">
        <v>2420</v>
      </c>
      <c r="J556" s="2" t="s">
        <v>2421</v>
      </c>
      <c r="K556" s="2" t="s">
        <v>2422</v>
      </c>
    </row>
    <row r="557" customFormat="false" ht="15" hidden="false" customHeight="false" outlineLevel="0" collapsed="false">
      <c r="A557" s="2" t="n">
        <v>556</v>
      </c>
      <c r="B557" s="2" t="s">
        <v>2423</v>
      </c>
      <c r="C557" s="2" t="s">
        <v>2424</v>
      </c>
      <c r="D557" s="2" t="s">
        <v>20</v>
      </c>
      <c r="E557" s="2" t="s">
        <v>14</v>
      </c>
      <c r="F557" s="2" t="n">
        <v>1</v>
      </c>
      <c r="G557" s="2"/>
      <c r="H557" s="4" t="s">
        <v>21</v>
      </c>
      <c r="I557" s="2" t="s">
        <v>2425</v>
      </c>
      <c r="J557" s="2" t="s">
        <v>2426</v>
      </c>
      <c r="K557" s="2" t="s">
        <v>2427</v>
      </c>
    </row>
    <row r="558" customFormat="false" ht="15" hidden="false" customHeight="false" outlineLevel="0" collapsed="false">
      <c r="A558" s="2" t="n">
        <v>557</v>
      </c>
      <c r="B558" s="2" t="s">
        <v>2428</v>
      </c>
      <c r="C558" s="2" t="s">
        <v>481</v>
      </c>
      <c r="D558" s="2" t="s">
        <v>42</v>
      </c>
      <c r="E558" s="2" t="s">
        <v>43</v>
      </c>
      <c r="F558" s="2" t="n">
        <v>1</v>
      </c>
      <c r="G558" s="2" t="s">
        <v>2429</v>
      </c>
      <c r="H558" s="4" t="s">
        <v>21</v>
      </c>
      <c r="I558" s="2" t="s">
        <v>1764</v>
      </c>
      <c r="J558" s="2" t="s">
        <v>2430</v>
      </c>
      <c r="K558" s="2" t="s">
        <v>2431</v>
      </c>
    </row>
    <row r="559" customFormat="false" ht="15" hidden="false" customHeight="false" outlineLevel="0" collapsed="false">
      <c r="A559" s="2" t="n">
        <v>558</v>
      </c>
      <c r="B559" s="2" t="s">
        <v>2432</v>
      </c>
      <c r="C559" s="2" t="s">
        <v>2433</v>
      </c>
      <c r="D559" s="2" t="s">
        <v>13</v>
      </c>
      <c r="E559" s="2" t="s">
        <v>14</v>
      </c>
      <c r="F559" s="2" t="n">
        <v>1</v>
      </c>
      <c r="G559" s="2"/>
      <c r="H559" s="3" t="s">
        <v>15</v>
      </c>
      <c r="I559" s="2" t="s">
        <v>16</v>
      </c>
      <c r="J559" s="2" t="s">
        <v>2434</v>
      </c>
      <c r="K559" s="2"/>
    </row>
    <row r="560" customFormat="false" ht="15" hidden="false" customHeight="false" outlineLevel="0" collapsed="false">
      <c r="A560" s="2" t="n">
        <v>559</v>
      </c>
      <c r="B560" s="2" t="s">
        <v>2432</v>
      </c>
      <c r="C560" s="2" t="s">
        <v>2435</v>
      </c>
      <c r="D560" s="2" t="s">
        <v>61</v>
      </c>
      <c r="E560" s="2" t="s">
        <v>43</v>
      </c>
      <c r="F560" s="2" t="n">
        <v>1</v>
      </c>
      <c r="G560" s="2" t="s">
        <v>2436</v>
      </c>
      <c r="H560" s="3" t="s">
        <v>15</v>
      </c>
      <c r="I560" s="2" t="s">
        <v>2437</v>
      </c>
      <c r="J560" s="2" t="s">
        <v>2438</v>
      </c>
      <c r="K560" s="2" t="s">
        <v>2439</v>
      </c>
    </row>
    <row r="561" customFormat="false" ht="15" hidden="false" customHeight="false" outlineLevel="0" collapsed="false">
      <c r="A561" s="2" t="n">
        <v>560</v>
      </c>
      <c r="B561" s="2" t="s">
        <v>2440</v>
      </c>
      <c r="C561" s="2" t="s">
        <v>2441</v>
      </c>
      <c r="D561" s="2" t="s">
        <v>13</v>
      </c>
      <c r="E561" s="2" t="s">
        <v>14</v>
      </c>
      <c r="F561" s="2" t="n">
        <v>1</v>
      </c>
      <c r="G561" s="2"/>
      <c r="H561" s="3" t="s">
        <v>15</v>
      </c>
      <c r="I561" s="2" t="s">
        <v>2442</v>
      </c>
      <c r="J561" s="2" t="s">
        <v>2443</v>
      </c>
      <c r="K561" s="2" t="s">
        <v>2444</v>
      </c>
    </row>
    <row r="562" customFormat="false" ht="15" hidden="false" customHeight="false" outlineLevel="0" collapsed="false">
      <c r="A562" s="2" t="n">
        <v>561</v>
      </c>
      <c r="B562" s="2" t="s">
        <v>2445</v>
      </c>
      <c r="C562" s="2" t="s">
        <v>2446</v>
      </c>
      <c r="D562" s="2" t="s">
        <v>20</v>
      </c>
      <c r="E562" s="2" t="s">
        <v>14</v>
      </c>
      <c r="F562" s="2" t="n">
        <v>2</v>
      </c>
      <c r="G562" s="2"/>
      <c r="H562" s="4" t="s">
        <v>21</v>
      </c>
      <c r="I562" s="2" t="s">
        <v>2447</v>
      </c>
      <c r="J562" s="2" t="s">
        <v>2448</v>
      </c>
      <c r="K562" s="2" t="s">
        <v>2449</v>
      </c>
    </row>
    <row r="563" customFormat="false" ht="15" hidden="false" customHeight="false" outlineLevel="0" collapsed="false">
      <c r="A563" s="2" t="n">
        <v>562</v>
      </c>
      <c r="B563" s="2" t="s">
        <v>2450</v>
      </c>
      <c r="C563" s="2" t="s">
        <v>690</v>
      </c>
      <c r="D563" s="2" t="s">
        <v>13</v>
      </c>
      <c r="E563" s="2" t="s">
        <v>14</v>
      </c>
      <c r="F563" s="2" t="n">
        <v>1</v>
      </c>
      <c r="G563" s="2"/>
      <c r="H563" s="4" t="s">
        <v>21</v>
      </c>
      <c r="I563" s="2" t="s">
        <v>2451</v>
      </c>
      <c r="J563" s="2" t="s">
        <v>2452</v>
      </c>
      <c r="K563" s="2" t="s">
        <v>2453</v>
      </c>
    </row>
    <row r="564" customFormat="false" ht="15" hidden="false" customHeight="false" outlineLevel="0" collapsed="false">
      <c r="A564" s="2" t="n">
        <v>563</v>
      </c>
      <c r="B564" s="2" t="s">
        <v>2454</v>
      </c>
      <c r="C564" s="2" t="s">
        <v>2455</v>
      </c>
      <c r="D564" s="2" t="s">
        <v>42</v>
      </c>
      <c r="E564" s="2" t="s">
        <v>43</v>
      </c>
      <c r="F564" s="2" t="n">
        <v>1</v>
      </c>
      <c r="G564" s="2" t="s">
        <v>2456</v>
      </c>
      <c r="H564" s="3" t="s">
        <v>15</v>
      </c>
      <c r="I564" s="2" t="s">
        <v>16</v>
      </c>
      <c r="J564" s="2" t="s">
        <v>2457</v>
      </c>
      <c r="K564" s="2"/>
    </row>
    <row r="565" customFormat="false" ht="15" hidden="false" customHeight="false" outlineLevel="0" collapsed="false">
      <c r="A565" s="2" t="n">
        <v>564</v>
      </c>
      <c r="B565" s="2" t="s">
        <v>2458</v>
      </c>
      <c r="C565" s="2" t="s">
        <v>2459</v>
      </c>
      <c r="D565" s="2" t="s">
        <v>13</v>
      </c>
      <c r="E565" s="2" t="s">
        <v>14</v>
      </c>
      <c r="F565" s="2" t="n">
        <v>1</v>
      </c>
      <c r="G565" s="2"/>
      <c r="H565" s="4" t="s">
        <v>21</v>
      </c>
      <c r="I565" s="2" t="s">
        <v>2460</v>
      </c>
      <c r="J565" s="2" t="s">
        <v>2461</v>
      </c>
      <c r="K565" s="2" t="s">
        <v>2462</v>
      </c>
    </row>
    <row r="566" customFormat="false" ht="15" hidden="false" customHeight="false" outlineLevel="0" collapsed="false">
      <c r="A566" s="2" t="n">
        <v>565</v>
      </c>
      <c r="B566" s="2" t="s">
        <v>2463</v>
      </c>
      <c r="C566" s="2" t="s">
        <v>690</v>
      </c>
      <c r="D566" s="2" t="s">
        <v>61</v>
      </c>
      <c r="E566" s="2" t="s">
        <v>43</v>
      </c>
      <c r="F566" s="2" t="n">
        <v>1</v>
      </c>
      <c r="G566" s="2" t="s">
        <v>2464</v>
      </c>
      <c r="H566" s="4" t="s">
        <v>21</v>
      </c>
      <c r="I566" s="2" t="s">
        <v>288</v>
      </c>
      <c r="J566" s="2" t="s">
        <v>2465</v>
      </c>
      <c r="K566" s="2" t="s">
        <v>2466</v>
      </c>
    </row>
    <row r="567" customFormat="false" ht="15" hidden="false" customHeight="false" outlineLevel="0" collapsed="false">
      <c r="A567" s="2" t="n">
        <v>566</v>
      </c>
      <c r="B567" s="2" t="s">
        <v>175</v>
      </c>
      <c r="C567" s="2" t="s">
        <v>2467</v>
      </c>
      <c r="D567" s="2" t="s">
        <v>61</v>
      </c>
      <c r="E567" s="2" t="s">
        <v>43</v>
      </c>
      <c r="F567" s="2" t="n">
        <v>1</v>
      </c>
      <c r="G567" s="2" t="s">
        <v>2468</v>
      </c>
      <c r="H567" s="5" t="s">
        <v>45</v>
      </c>
      <c r="I567" s="2" t="s">
        <v>2469</v>
      </c>
      <c r="J567" s="2" t="s">
        <v>47</v>
      </c>
      <c r="K567" s="2"/>
    </row>
    <row r="568" customFormat="false" ht="15" hidden="false" customHeight="false" outlineLevel="0" collapsed="false">
      <c r="A568" s="2" t="n">
        <v>567</v>
      </c>
      <c r="B568" s="2" t="s">
        <v>2470</v>
      </c>
      <c r="C568" s="2" t="s">
        <v>319</v>
      </c>
      <c r="D568" s="2" t="s">
        <v>42</v>
      </c>
      <c r="E568" s="2" t="s">
        <v>43</v>
      </c>
      <c r="F568" s="2" t="n">
        <v>1</v>
      </c>
      <c r="G568" s="2" t="s">
        <v>2471</v>
      </c>
      <c r="H568" s="4" t="s">
        <v>21</v>
      </c>
      <c r="I568" s="2" t="s">
        <v>2472</v>
      </c>
      <c r="J568" s="2" t="s">
        <v>2473</v>
      </c>
      <c r="K568" s="2" t="s">
        <v>2474</v>
      </c>
    </row>
    <row r="569" customFormat="false" ht="15" hidden="false" customHeight="false" outlineLevel="0" collapsed="false">
      <c r="A569" s="2" t="n">
        <v>568</v>
      </c>
      <c r="B569" s="2" t="s">
        <v>2475</v>
      </c>
      <c r="C569" s="2" t="s">
        <v>2476</v>
      </c>
      <c r="D569" s="2" t="s">
        <v>20</v>
      </c>
      <c r="E569" s="2" t="s">
        <v>14</v>
      </c>
      <c r="F569" s="2" t="n">
        <v>1</v>
      </c>
      <c r="G569" s="2"/>
      <c r="H569" s="4" t="s">
        <v>21</v>
      </c>
      <c r="I569" s="2" t="s">
        <v>22</v>
      </c>
      <c r="J569" s="2" t="s">
        <v>2477</v>
      </c>
      <c r="K569" s="2" t="s">
        <v>2478</v>
      </c>
    </row>
    <row r="570" customFormat="false" ht="15" hidden="false" customHeight="false" outlineLevel="0" collapsed="false">
      <c r="A570" s="2" t="n">
        <v>569</v>
      </c>
      <c r="B570" s="2" t="s">
        <v>2479</v>
      </c>
      <c r="C570" s="2" t="s">
        <v>695</v>
      </c>
      <c r="D570" s="2" t="s">
        <v>61</v>
      </c>
      <c r="E570" s="2" t="s">
        <v>43</v>
      </c>
      <c r="F570" s="2" t="n">
        <v>2</v>
      </c>
      <c r="G570" s="2" t="s">
        <v>2480</v>
      </c>
      <c r="H570" s="4" t="s">
        <v>21</v>
      </c>
      <c r="I570" s="2" t="s">
        <v>2481</v>
      </c>
      <c r="J570" s="2" t="s">
        <v>2482</v>
      </c>
      <c r="K570" s="2" t="s">
        <v>2431</v>
      </c>
    </row>
    <row r="571" customFormat="false" ht="15" hidden="false" customHeight="false" outlineLevel="0" collapsed="false">
      <c r="A571" s="2" t="n">
        <v>570</v>
      </c>
      <c r="B571" s="2" t="s">
        <v>2483</v>
      </c>
      <c r="C571" s="2" t="s">
        <v>2484</v>
      </c>
      <c r="D571" s="2" t="s">
        <v>13</v>
      </c>
      <c r="E571" s="2" t="s">
        <v>14</v>
      </c>
      <c r="F571" s="2" t="n">
        <v>1</v>
      </c>
      <c r="G571" s="2"/>
      <c r="H571" s="4" t="s">
        <v>21</v>
      </c>
      <c r="I571" s="2" t="s">
        <v>171</v>
      </c>
      <c r="J571" s="2" t="s">
        <v>2485</v>
      </c>
      <c r="K571" s="2" t="s">
        <v>2486</v>
      </c>
    </row>
    <row r="572" customFormat="false" ht="15" hidden="false" customHeight="false" outlineLevel="0" collapsed="false">
      <c r="A572" s="2" t="n">
        <v>571</v>
      </c>
      <c r="B572" s="2" t="s">
        <v>2487</v>
      </c>
      <c r="C572" s="2" t="s">
        <v>968</v>
      </c>
      <c r="D572" s="2" t="s">
        <v>13</v>
      </c>
      <c r="E572" s="2" t="s">
        <v>14</v>
      </c>
      <c r="F572" s="2" t="n">
        <v>1</v>
      </c>
      <c r="G572" s="2"/>
      <c r="H572" s="4" t="s">
        <v>21</v>
      </c>
      <c r="I572" s="2" t="s">
        <v>2488</v>
      </c>
      <c r="J572" s="2" t="s">
        <v>2489</v>
      </c>
      <c r="K572" s="2" t="s">
        <v>2490</v>
      </c>
    </row>
    <row r="573" customFormat="false" ht="15" hidden="false" customHeight="false" outlineLevel="0" collapsed="false">
      <c r="A573" s="2" t="n">
        <v>572</v>
      </c>
      <c r="B573" s="2" t="s">
        <v>2491</v>
      </c>
      <c r="C573" s="2" t="s">
        <v>2492</v>
      </c>
      <c r="D573" s="2" t="s">
        <v>98</v>
      </c>
      <c r="E573" s="2" t="s">
        <v>14</v>
      </c>
      <c r="F573" s="2" t="n">
        <v>2</v>
      </c>
      <c r="G573" s="2"/>
      <c r="H573" s="4" t="s">
        <v>21</v>
      </c>
      <c r="I573" s="2" t="s">
        <v>2493</v>
      </c>
      <c r="J573" s="2" t="s">
        <v>2494</v>
      </c>
      <c r="K573" s="2" t="s">
        <v>2495</v>
      </c>
    </row>
    <row r="574" customFormat="false" ht="15" hidden="false" customHeight="false" outlineLevel="0" collapsed="false">
      <c r="A574" s="2" t="n">
        <v>573</v>
      </c>
      <c r="B574" s="2" t="s">
        <v>2496</v>
      </c>
      <c r="C574" s="2" t="s">
        <v>2497</v>
      </c>
      <c r="D574" s="2" t="s">
        <v>20</v>
      </c>
      <c r="E574" s="2" t="s">
        <v>14</v>
      </c>
      <c r="F574" s="2" t="n">
        <v>1</v>
      </c>
      <c r="G574" s="2"/>
      <c r="H574" s="5" t="s">
        <v>45</v>
      </c>
      <c r="I574" s="2" t="s">
        <v>2498</v>
      </c>
      <c r="J574" s="2" t="s">
        <v>2499</v>
      </c>
      <c r="K574" s="2" t="s">
        <v>2500</v>
      </c>
    </row>
    <row r="575" customFormat="false" ht="15" hidden="false" customHeight="false" outlineLevel="0" collapsed="false">
      <c r="A575" s="2" t="n">
        <v>574</v>
      </c>
      <c r="B575" s="2" t="s">
        <v>2501</v>
      </c>
      <c r="C575" s="2" t="s">
        <v>2502</v>
      </c>
      <c r="D575" s="2" t="s">
        <v>13</v>
      </c>
      <c r="E575" s="2" t="s">
        <v>14</v>
      </c>
      <c r="F575" s="2" t="n">
        <v>1</v>
      </c>
      <c r="G575" s="2"/>
      <c r="H575" s="4" t="s">
        <v>21</v>
      </c>
      <c r="I575" s="2" t="s">
        <v>2503</v>
      </c>
      <c r="J575" s="2" t="s">
        <v>2504</v>
      </c>
      <c r="K575" s="2" t="s">
        <v>2505</v>
      </c>
    </row>
    <row r="576" customFormat="false" ht="15" hidden="false" customHeight="false" outlineLevel="0" collapsed="false">
      <c r="A576" s="2" t="n">
        <v>575</v>
      </c>
      <c r="B576" s="2" t="s">
        <v>2506</v>
      </c>
      <c r="C576" s="2" t="s">
        <v>2507</v>
      </c>
      <c r="D576" s="2" t="s">
        <v>20</v>
      </c>
      <c r="E576" s="2" t="s">
        <v>14</v>
      </c>
      <c r="F576" s="2" t="n">
        <v>1</v>
      </c>
      <c r="G576" s="2"/>
      <c r="H576" s="5" t="s">
        <v>45</v>
      </c>
      <c r="I576" s="2" t="s">
        <v>2508</v>
      </c>
      <c r="J576" s="2" t="s">
        <v>2509</v>
      </c>
      <c r="K576" s="2" t="s">
        <v>2510</v>
      </c>
    </row>
    <row r="577" customFormat="false" ht="15" hidden="false" customHeight="false" outlineLevel="0" collapsed="false">
      <c r="A577" s="2" t="n">
        <v>576</v>
      </c>
      <c r="B577" s="2" t="s">
        <v>2511</v>
      </c>
      <c r="C577" s="2" t="s">
        <v>332</v>
      </c>
      <c r="D577" s="2" t="s">
        <v>13</v>
      </c>
      <c r="E577" s="2" t="s">
        <v>14</v>
      </c>
      <c r="F577" s="2" t="n">
        <v>1</v>
      </c>
      <c r="G577" s="2"/>
      <c r="H577" s="4" t="s">
        <v>21</v>
      </c>
      <c r="I577" s="2" t="s">
        <v>2512</v>
      </c>
      <c r="J577" s="2" t="s">
        <v>2513</v>
      </c>
      <c r="K577" s="2" t="s">
        <v>2514</v>
      </c>
    </row>
    <row r="578" customFormat="false" ht="15" hidden="false" customHeight="false" outlineLevel="0" collapsed="false">
      <c r="A578" s="2" t="n">
        <v>577</v>
      </c>
      <c r="B578" s="2" t="s">
        <v>2515</v>
      </c>
      <c r="C578" s="2" t="s">
        <v>157</v>
      </c>
      <c r="D578" s="2" t="s">
        <v>20</v>
      </c>
      <c r="E578" s="2" t="s">
        <v>14</v>
      </c>
      <c r="F578" s="2" t="n">
        <v>1</v>
      </c>
      <c r="G578" s="2"/>
      <c r="H578" s="5" t="s">
        <v>45</v>
      </c>
      <c r="I578" s="2" t="s">
        <v>2516</v>
      </c>
      <c r="J578" s="2" t="s">
        <v>2517</v>
      </c>
      <c r="K578" s="2" t="s">
        <v>2518</v>
      </c>
    </row>
    <row r="579" customFormat="false" ht="15" hidden="false" customHeight="false" outlineLevel="0" collapsed="false">
      <c r="A579" s="2" t="n">
        <v>578</v>
      </c>
      <c r="B579" s="2" t="s">
        <v>2519</v>
      </c>
      <c r="C579" s="2" t="s">
        <v>1365</v>
      </c>
      <c r="D579" s="2" t="s">
        <v>61</v>
      </c>
      <c r="E579" s="2" t="s">
        <v>43</v>
      </c>
      <c r="F579" s="2" t="n">
        <v>1</v>
      </c>
      <c r="G579" s="2" t="s">
        <v>2520</v>
      </c>
      <c r="H579" s="4" t="s">
        <v>21</v>
      </c>
      <c r="I579" s="2" t="s">
        <v>2521</v>
      </c>
      <c r="J579" s="2" t="s">
        <v>2522</v>
      </c>
      <c r="K579" s="2" t="s">
        <v>2523</v>
      </c>
    </row>
    <row r="580" customFormat="false" ht="15" hidden="false" customHeight="false" outlineLevel="0" collapsed="false">
      <c r="A580" s="2" t="n">
        <v>579</v>
      </c>
      <c r="B580" s="2" t="s">
        <v>2524</v>
      </c>
      <c r="C580" s="2" t="s">
        <v>2525</v>
      </c>
      <c r="D580" s="2" t="s">
        <v>258</v>
      </c>
      <c r="E580" s="2" t="s">
        <v>43</v>
      </c>
      <c r="F580" s="2" t="n">
        <v>3</v>
      </c>
      <c r="G580" s="2" t="s">
        <v>2526</v>
      </c>
      <c r="H580" s="4" t="s">
        <v>21</v>
      </c>
      <c r="I580" s="2" t="s">
        <v>1191</v>
      </c>
      <c r="J580" s="2" t="s">
        <v>2527</v>
      </c>
      <c r="K580" s="2" t="s">
        <v>2528</v>
      </c>
    </row>
    <row r="581" customFormat="false" ht="15" hidden="false" customHeight="false" outlineLevel="0" collapsed="false">
      <c r="A581" s="2" t="n">
        <v>580</v>
      </c>
      <c r="B581" s="2" t="s">
        <v>2529</v>
      </c>
      <c r="C581" s="2" t="s">
        <v>2530</v>
      </c>
      <c r="D581" s="2" t="s">
        <v>98</v>
      </c>
      <c r="E581" s="2" t="s">
        <v>14</v>
      </c>
      <c r="F581" s="2" t="n">
        <v>5</v>
      </c>
      <c r="G581" s="2"/>
      <c r="H581" s="4" t="s">
        <v>21</v>
      </c>
      <c r="I581" s="2" t="s">
        <v>2531</v>
      </c>
      <c r="J581" s="2" t="s">
        <v>2532</v>
      </c>
      <c r="K581" s="2" t="s">
        <v>2533</v>
      </c>
    </row>
    <row r="582" customFormat="false" ht="15" hidden="false" customHeight="false" outlineLevel="0" collapsed="false">
      <c r="A582" s="2" t="n">
        <v>581</v>
      </c>
      <c r="B582" s="2" t="s">
        <v>2534</v>
      </c>
      <c r="C582" s="2" t="s">
        <v>2535</v>
      </c>
      <c r="D582" s="2" t="s">
        <v>13</v>
      </c>
      <c r="E582" s="2" t="s">
        <v>14</v>
      </c>
      <c r="F582" s="2" t="n">
        <v>1</v>
      </c>
      <c r="G582" s="2"/>
      <c r="H582" s="3" t="s">
        <v>15</v>
      </c>
      <c r="I582" s="2" t="s">
        <v>2536</v>
      </c>
      <c r="J582" s="2" t="s">
        <v>2537</v>
      </c>
      <c r="K582" s="2" t="s">
        <v>2538</v>
      </c>
    </row>
    <row r="583" customFormat="false" ht="15" hidden="false" customHeight="false" outlineLevel="0" collapsed="false">
      <c r="A583" s="2" t="n">
        <v>582</v>
      </c>
      <c r="B583" s="2" t="s">
        <v>2539</v>
      </c>
      <c r="C583" s="2" t="s">
        <v>2540</v>
      </c>
      <c r="D583" s="2" t="s">
        <v>61</v>
      </c>
      <c r="E583" s="2" t="s">
        <v>43</v>
      </c>
      <c r="F583" s="2" t="n">
        <v>1</v>
      </c>
      <c r="G583" s="2" t="s">
        <v>2541</v>
      </c>
      <c r="H583" s="4" t="s">
        <v>21</v>
      </c>
      <c r="I583" s="2" t="s">
        <v>2542</v>
      </c>
      <c r="J583" s="2" t="s">
        <v>2543</v>
      </c>
      <c r="K583" s="2" t="s">
        <v>2544</v>
      </c>
    </row>
    <row r="584" customFormat="false" ht="15" hidden="false" customHeight="false" outlineLevel="0" collapsed="false">
      <c r="A584" s="2" t="n">
        <v>583</v>
      </c>
      <c r="B584" s="2" t="s">
        <v>2545</v>
      </c>
      <c r="C584" s="2" t="s">
        <v>2546</v>
      </c>
      <c r="D584" s="2" t="s">
        <v>2547</v>
      </c>
      <c r="E584" s="2" t="s">
        <v>182</v>
      </c>
      <c r="F584" s="2" t="n">
        <v>3</v>
      </c>
      <c r="G584" s="2" t="s">
        <v>2548</v>
      </c>
      <c r="H584" s="4" t="s">
        <v>21</v>
      </c>
      <c r="I584" s="2" t="s">
        <v>2549</v>
      </c>
      <c r="J584" s="2" t="s">
        <v>2550</v>
      </c>
      <c r="K584" s="2" t="s">
        <v>2551</v>
      </c>
    </row>
    <row r="585" customFormat="false" ht="15" hidden="false" customHeight="false" outlineLevel="0" collapsed="false">
      <c r="A585" s="2" t="n">
        <v>584</v>
      </c>
      <c r="B585" s="2" t="s">
        <v>2552</v>
      </c>
      <c r="C585" s="2" t="s">
        <v>251</v>
      </c>
      <c r="D585" s="2" t="s">
        <v>13</v>
      </c>
      <c r="E585" s="2" t="s">
        <v>14</v>
      </c>
      <c r="F585" s="2" t="n">
        <v>2</v>
      </c>
      <c r="G585" s="2"/>
      <c r="H585" s="4" t="s">
        <v>21</v>
      </c>
      <c r="I585" s="2" t="s">
        <v>2553</v>
      </c>
      <c r="J585" s="2" t="s">
        <v>2554</v>
      </c>
      <c r="K585" s="2" t="s">
        <v>2555</v>
      </c>
    </row>
    <row r="586" customFormat="false" ht="15" hidden="false" customHeight="false" outlineLevel="0" collapsed="false">
      <c r="A586" s="2" t="n">
        <v>585</v>
      </c>
      <c r="B586" s="2" t="s">
        <v>2556</v>
      </c>
      <c r="C586" s="2" t="s">
        <v>2557</v>
      </c>
      <c r="D586" s="2" t="s">
        <v>61</v>
      </c>
      <c r="E586" s="2" t="s">
        <v>43</v>
      </c>
      <c r="F586" s="2" t="n">
        <v>1</v>
      </c>
      <c r="G586" s="2" t="s">
        <v>2558</v>
      </c>
      <c r="H586" s="4" t="s">
        <v>21</v>
      </c>
      <c r="I586" s="2" t="s">
        <v>2559</v>
      </c>
      <c r="J586" s="2" t="s">
        <v>2560</v>
      </c>
      <c r="K586" s="2" t="s">
        <v>2561</v>
      </c>
    </row>
    <row r="587" customFormat="false" ht="15" hidden="false" customHeight="false" outlineLevel="0" collapsed="false">
      <c r="A587" s="2" t="n">
        <v>586</v>
      </c>
      <c r="B587" s="2" t="s">
        <v>2556</v>
      </c>
      <c r="C587" s="2" t="s">
        <v>2562</v>
      </c>
      <c r="D587" s="2" t="s">
        <v>13</v>
      </c>
      <c r="E587" s="2" t="s">
        <v>14</v>
      </c>
      <c r="F587" s="2" t="n">
        <v>1</v>
      </c>
      <c r="G587" s="2"/>
      <c r="H587" s="3" t="s">
        <v>15</v>
      </c>
      <c r="I587" s="2" t="s">
        <v>16</v>
      </c>
      <c r="J587" s="2" t="s">
        <v>2563</v>
      </c>
      <c r="K587" s="2"/>
    </row>
    <row r="588" customFormat="false" ht="15" hidden="false" customHeight="false" outlineLevel="0" collapsed="false">
      <c r="A588" s="2" t="n">
        <v>587</v>
      </c>
      <c r="B588" s="2" t="s">
        <v>2556</v>
      </c>
      <c r="C588" s="2" t="s">
        <v>2564</v>
      </c>
      <c r="D588" s="2" t="s">
        <v>258</v>
      </c>
      <c r="E588" s="2" t="s">
        <v>43</v>
      </c>
      <c r="F588" s="2" t="n">
        <v>4</v>
      </c>
      <c r="G588" s="2" t="s">
        <v>2565</v>
      </c>
      <c r="H588" s="4" t="s">
        <v>21</v>
      </c>
      <c r="I588" s="2" t="s">
        <v>2566</v>
      </c>
      <c r="J588" s="2" t="s">
        <v>2567</v>
      </c>
      <c r="K588" s="2" t="s">
        <v>2568</v>
      </c>
    </row>
    <row r="589" customFormat="false" ht="15" hidden="false" customHeight="false" outlineLevel="0" collapsed="false">
      <c r="A589" s="2" t="n">
        <v>588</v>
      </c>
      <c r="B589" s="2" t="s">
        <v>2556</v>
      </c>
      <c r="C589" s="2" t="s">
        <v>2569</v>
      </c>
      <c r="D589" s="2" t="s">
        <v>61</v>
      </c>
      <c r="E589" s="2" t="s">
        <v>43</v>
      </c>
      <c r="F589" s="2" t="n">
        <v>1</v>
      </c>
      <c r="G589" s="2" t="s">
        <v>2570</v>
      </c>
      <c r="H589" s="3" t="s">
        <v>15</v>
      </c>
      <c r="I589" s="2" t="s">
        <v>2571</v>
      </c>
      <c r="J589" s="2" t="s">
        <v>2572</v>
      </c>
      <c r="K589" s="2" t="s">
        <v>2573</v>
      </c>
    </row>
    <row r="590" customFormat="false" ht="15" hidden="false" customHeight="false" outlineLevel="0" collapsed="false">
      <c r="A590" s="2" t="n">
        <v>589</v>
      </c>
      <c r="B590" s="2" t="s">
        <v>2574</v>
      </c>
      <c r="C590" s="2" t="s">
        <v>2575</v>
      </c>
      <c r="D590" s="2" t="s">
        <v>13</v>
      </c>
      <c r="E590" s="2" t="s">
        <v>14</v>
      </c>
      <c r="F590" s="2" t="n">
        <v>1</v>
      </c>
      <c r="G590" s="2"/>
      <c r="H590" s="3" t="s">
        <v>15</v>
      </c>
      <c r="I590" s="2" t="s">
        <v>16</v>
      </c>
      <c r="J590" s="2" t="s">
        <v>2576</v>
      </c>
      <c r="K590" s="2" t="s">
        <v>2577</v>
      </c>
    </row>
    <row r="591" customFormat="false" ht="15" hidden="false" customHeight="false" outlineLevel="0" collapsed="false">
      <c r="A591" s="2" t="n">
        <v>590</v>
      </c>
      <c r="B591" s="2" t="s">
        <v>2578</v>
      </c>
      <c r="C591" s="2" t="s">
        <v>1040</v>
      </c>
      <c r="D591" s="2" t="s">
        <v>13</v>
      </c>
      <c r="E591" s="2" t="s">
        <v>14</v>
      </c>
      <c r="F591" s="2" t="n">
        <v>1</v>
      </c>
      <c r="G591" s="2"/>
      <c r="H591" s="4" t="s">
        <v>21</v>
      </c>
      <c r="I591" s="2" t="s">
        <v>2579</v>
      </c>
      <c r="J591" s="2" t="s">
        <v>2580</v>
      </c>
      <c r="K591" s="2" t="s">
        <v>2581</v>
      </c>
    </row>
    <row r="592" customFormat="false" ht="15" hidden="false" customHeight="false" outlineLevel="0" collapsed="false">
      <c r="A592" s="2" t="n">
        <v>591</v>
      </c>
      <c r="B592" s="2" t="s">
        <v>2582</v>
      </c>
      <c r="C592" s="2" t="s">
        <v>2583</v>
      </c>
      <c r="D592" s="2" t="s">
        <v>13</v>
      </c>
      <c r="E592" s="2" t="s">
        <v>14</v>
      </c>
      <c r="F592" s="2" t="n">
        <v>1</v>
      </c>
      <c r="G592" s="2"/>
      <c r="H592" s="4" t="s">
        <v>21</v>
      </c>
      <c r="I592" s="2" t="s">
        <v>2584</v>
      </c>
      <c r="J592" s="2" t="s">
        <v>2585</v>
      </c>
      <c r="K592" s="2" t="s">
        <v>2586</v>
      </c>
    </row>
    <row r="593" customFormat="false" ht="15" hidden="false" customHeight="false" outlineLevel="0" collapsed="false">
      <c r="A593" s="2" t="n">
        <v>592</v>
      </c>
      <c r="B593" s="2" t="s">
        <v>2587</v>
      </c>
      <c r="C593" s="2" t="s">
        <v>505</v>
      </c>
      <c r="D593" s="2" t="s">
        <v>42</v>
      </c>
      <c r="E593" s="2" t="s">
        <v>43</v>
      </c>
      <c r="F593" s="2" t="n">
        <v>1</v>
      </c>
      <c r="G593" s="2" t="s">
        <v>2588</v>
      </c>
      <c r="H593" s="4" t="s">
        <v>21</v>
      </c>
      <c r="I593" s="2" t="s">
        <v>288</v>
      </c>
      <c r="J593" s="2" t="s">
        <v>2589</v>
      </c>
      <c r="K593" s="2" t="s">
        <v>2590</v>
      </c>
    </row>
    <row r="594" customFormat="false" ht="15" hidden="false" customHeight="false" outlineLevel="0" collapsed="false">
      <c r="A594" s="2" t="n">
        <v>593</v>
      </c>
      <c r="B594" s="2" t="s">
        <v>2591</v>
      </c>
      <c r="C594" s="2" t="s">
        <v>2592</v>
      </c>
      <c r="D594" s="2" t="s">
        <v>42</v>
      </c>
      <c r="E594" s="2" t="s">
        <v>43</v>
      </c>
      <c r="F594" s="2" t="n">
        <v>1</v>
      </c>
      <c r="G594" s="2" t="s">
        <v>2593</v>
      </c>
      <c r="H594" s="3" t="s">
        <v>15</v>
      </c>
      <c r="I594" s="2" t="s">
        <v>2594</v>
      </c>
      <c r="J594" s="2" t="s">
        <v>2595</v>
      </c>
      <c r="K594" s="2" t="s">
        <v>2596</v>
      </c>
    </row>
    <row r="595" customFormat="false" ht="15" hidden="false" customHeight="false" outlineLevel="0" collapsed="false">
      <c r="A595" s="2" t="n">
        <v>594</v>
      </c>
      <c r="B595" s="2" t="s">
        <v>2591</v>
      </c>
      <c r="C595" s="2" t="s">
        <v>2597</v>
      </c>
      <c r="D595" s="2" t="s">
        <v>42</v>
      </c>
      <c r="E595" s="2" t="s">
        <v>43</v>
      </c>
      <c r="F595" s="2" t="n">
        <v>1</v>
      </c>
      <c r="G595" s="2" t="s">
        <v>2598</v>
      </c>
      <c r="H595" s="4" t="s">
        <v>21</v>
      </c>
      <c r="I595" s="2" t="s">
        <v>2599</v>
      </c>
      <c r="J595" s="2" t="s">
        <v>2600</v>
      </c>
      <c r="K595" s="2" t="s">
        <v>2601</v>
      </c>
    </row>
    <row r="596" customFormat="false" ht="15" hidden="false" customHeight="false" outlineLevel="0" collapsed="false">
      <c r="A596" s="2" t="n">
        <v>595</v>
      </c>
      <c r="B596" s="2" t="s">
        <v>2591</v>
      </c>
      <c r="C596" s="2" t="s">
        <v>2602</v>
      </c>
      <c r="D596" s="2" t="s">
        <v>61</v>
      </c>
      <c r="E596" s="2" t="s">
        <v>43</v>
      </c>
      <c r="F596" s="2" t="n">
        <v>1</v>
      </c>
      <c r="G596" s="2" t="s">
        <v>2603</v>
      </c>
      <c r="H596" s="4" t="s">
        <v>21</v>
      </c>
      <c r="I596" s="2" t="s">
        <v>288</v>
      </c>
      <c r="J596" s="2" t="s">
        <v>2604</v>
      </c>
      <c r="K596" s="2" t="s">
        <v>2605</v>
      </c>
    </row>
    <row r="597" customFormat="false" ht="15" hidden="false" customHeight="false" outlineLevel="0" collapsed="false">
      <c r="A597" s="2" t="n">
        <v>596</v>
      </c>
      <c r="B597" s="2" t="s">
        <v>2606</v>
      </c>
      <c r="C597" s="2" t="s">
        <v>2607</v>
      </c>
      <c r="D597" s="2" t="s">
        <v>13</v>
      </c>
      <c r="E597" s="2" t="s">
        <v>14</v>
      </c>
      <c r="F597" s="2" t="n">
        <v>2</v>
      </c>
      <c r="G597" s="2"/>
      <c r="H597" s="4" t="s">
        <v>21</v>
      </c>
      <c r="I597" s="2" t="s">
        <v>2608</v>
      </c>
      <c r="J597" s="2" t="s">
        <v>2609</v>
      </c>
      <c r="K597" s="2" t="s">
        <v>2610</v>
      </c>
    </row>
    <row r="598" customFormat="false" ht="15" hidden="false" customHeight="false" outlineLevel="0" collapsed="false">
      <c r="A598" s="2" t="n">
        <v>597</v>
      </c>
      <c r="B598" s="2" t="s">
        <v>2611</v>
      </c>
      <c r="C598" s="2" t="s">
        <v>2612</v>
      </c>
      <c r="D598" s="2" t="s">
        <v>13</v>
      </c>
      <c r="E598" s="2" t="s">
        <v>14</v>
      </c>
      <c r="F598" s="2" t="n">
        <v>1</v>
      </c>
      <c r="G598" s="2"/>
      <c r="H598" s="4" t="s">
        <v>21</v>
      </c>
      <c r="I598" s="2" t="s">
        <v>1345</v>
      </c>
      <c r="J598" s="2" t="s">
        <v>2613</v>
      </c>
      <c r="K598" s="2" t="s">
        <v>2614</v>
      </c>
    </row>
    <row r="599" customFormat="false" ht="15" hidden="false" customHeight="false" outlineLevel="0" collapsed="false">
      <c r="A599" s="2" t="n">
        <v>598</v>
      </c>
      <c r="B599" s="2" t="s">
        <v>2615</v>
      </c>
      <c r="C599" s="2" t="s">
        <v>2146</v>
      </c>
      <c r="D599" s="2" t="s">
        <v>13</v>
      </c>
      <c r="E599" s="2" t="s">
        <v>14</v>
      </c>
      <c r="F599" s="2" t="n">
        <v>1</v>
      </c>
      <c r="G599" s="2"/>
      <c r="H599" s="3" t="s">
        <v>15</v>
      </c>
      <c r="I599" s="2" t="s">
        <v>16</v>
      </c>
      <c r="J599" s="2" t="s">
        <v>2616</v>
      </c>
      <c r="K599" s="2"/>
    </row>
    <row r="600" customFormat="false" ht="15" hidden="false" customHeight="false" outlineLevel="0" collapsed="false">
      <c r="A600" s="2" t="n">
        <v>599</v>
      </c>
      <c r="B600" s="2" t="s">
        <v>2617</v>
      </c>
      <c r="C600" s="2" t="s">
        <v>272</v>
      </c>
      <c r="D600" s="2" t="s">
        <v>20</v>
      </c>
      <c r="E600" s="2" t="s">
        <v>14</v>
      </c>
      <c r="F600" s="2" t="n">
        <v>2</v>
      </c>
      <c r="G600" s="2"/>
      <c r="H600" s="4" t="s">
        <v>21</v>
      </c>
      <c r="I600" s="2" t="s">
        <v>22</v>
      </c>
      <c r="J600" s="2" t="s">
        <v>2618</v>
      </c>
      <c r="K600" s="2" t="s">
        <v>2619</v>
      </c>
    </row>
    <row r="601" customFormat="false" ht="15" hidden="false" customHeight="false" outlineLevel="0" collapsed="false">
      <c r="A601" s="2" t="n">
        <v>600</v>
      </c>
      <c r="B601" s="2" t="s">
        <v>2620</v>
      </c>
      <c r="C601" s="2" t="s">
        <v>2621</v>
      </c>
      <c r="D601" s="2" t="s">
        <v>42</v>
      </c>
      <c r="E601" s="2" t="s">
        <v>43</v>
      </c>
      <c r="F601" s="2" t="n">
        <v>1</v>
      </c>
      <c r="G601" s="2" t="s">
        <v>2622</v>
      </c>
      <c r="H601" s="4" t="s">
        <v>21</v>
      </c>
      <c r="I601" s="2" t="s">
        <v>288</v>
      </c>
      <c r="J601" s="2" t="s">
        <v>2623</v>
      </c>
      <c r="K601" s="2" t="s">
        <v>2624</v>
      </c>
    </row>
    <row r="602" customFormat="false" ht="15" hidden="false" customHeight="false" outlineLevel="0" collapsed="false">
      <c r="A602" s="2" t="n">
        <v>601</v>
      </c>
      <c r="B602" s="2" t="s">
        <v>2625</v>
      </c>
      <c r="C602" s="2" t="s">
        <v>356</v>
      </c>
      <c r="D602" s="2" t="s">
        <v>61</v>
      </c>
      <c r="E602" s="2" t="s">
        <v>43</v>
      </c>
      <c r="F602" s="2" t="n">
        <v>1</v>
      </c>
      <c r="G602" s="2" t="s">
        <v>2626</v>
      </c>
      <c r="H602" s="4" t="s">
        <v>21</v>
      </c>
      <c r="I602" s="2" t="s">
        <v>2627</v>
      </c>
      <c r="J602" s="2" t="s">
        <v>2628</v>
      </c>
      <c r="K602" s="2" t="s">
        <v>2629</v>
      </c>
    </row>
    <row r="603" customFormat="false" ht="15" hidden="false" customHeight="false" outlineLevel="0" collapsed="false">
      <c r="A603" s="2" t="n">
        <v>602</v>
      </c>
      <c r="B603" s="2" t="s">
        <v>2630</v>
      </c>
      <c r="C603" s="2" t="s">
        <v>2631</v>
      </c>
      <c r="D603" s="2" t="s">
        <v>98</v>
      </c>
      <c r="E603" s="2" t="s">
        <v>14</v>
      </c>
      <c r="F603" s="2" t="n">
        <v>2</v>
      </c>
      <c r="G603" s="2"/>
      <c r="H603" s="4" t="s">
        <v>21</v>
      </c>
      <c r="I603" s="2" t="s">
        <v>2632</v>
      </c>
      <c r="J603" s="2" t="s">
        <v>2633</v>
      </c>
      <c r="K603" s="2" t="s">
        <v>2634</v>
      </c>
    </row>
    <row r="604" customFormat="false" ht="15" hidden="false" customHeight="false" outlineLevel="0" collapsed="false">
      <c r="A604" s="2" t="n">
        <v>603</v>
      </c>
      <c r="B604" s="2" t="s">
        <v>2635</v>
      </c>
      <c r="C604" s="2" t="s">
        <v>2153</v>
      </c>
      <c r="D604" s="2" t="s">
        <v>13</v>
      </c>
      <c r="E604" s="2" t="s">
        <v>14</v>
      </c>
      <c r="F604" s="2" t="n">
        <v>1</v>
      </c>
      <c r="G604" s="2"/>
      <c r="H604" s="4" t="s">
        <v>21</v>
      </c>
      <c r="I604" s="2" t="s">
        <v>528</v>
      </c>
      <c r="J604" s="2" t="s">
        <v>2636</v>
      </c>
      <c r="K604" s="2" t="s">
        <v>2637</v>
      </c>
    </row>
    <row r="605" customFormat="false" ht="15" hidden="false" customHeight="false" outlineLevel="0" collapsed="false">
      <c r="A605" s="2" t="n">
        <v>604</v>
      </c>
      <c r="B605" s="2" t="s">
        <v>2638</v>
      </c>
      <c r="C605" s="2" t="s">
        <v>359</v>
      </c>
      <c r="D605" s="2" t="s">
        <v>13</v>
      </c>
      <c r="E605" s="2" t="s">
        <v>14</v>
      </c>
      <c r="F605" s="2" t="n">
        <v>1</v>
      </c>
      <c r="G605" s="2"/>
      <c r="H605" s="4" t="s">
        <v>21</v>
      </c>
      <c r="I605" s="2" t="s">
        <v>619</v>
      </c>
      <c r="J605" s="2" t="s">
        <v>2639</v>
      </c>
      <c r="K605" s="2" t="s">
        <v>2640</v>
      </c>
    </row>
    <row r="606" customFormat="false" ht="15" hidden="false" customHeight="false" outlineLevel="0" collapsed="false">
      <c r="A606" s="2" t="n">
        <v>605</v>
      </c>
      <c r="B606" s="2" t="s">
        <v>2641</v>
      </c>
      <c r="C606" s="2" t="s">
        <v>337</v>
      </c>
      <c r="D606" s="2" t="s">
        <v>13</v>
      </c>
      <c r="E606" s="2" t="s">
        <v>14</v>
      </c>
      <c r="F606" s="2" t="n">
        <v>1</v>
      </c>
      <c r="G606" s="2"/>
      <c r="H606" s="3" t="s">
        <v>15</v>
      </c>
      <c r="I606" s="2" t="s">
        <v>2642</v>
      </c>
      <c r="J606" s="2" t="s">
        <v>2643</v>
      </c>
      <c r="K606" s="2" t="s">
        <v>2370</v>
      </c>
    </row>
    <row r="607" customFormat="false" ht="15" hidden="false" customHeight="false" outlineLevel="0" collapsed="false">
      <c r="A607" s="2" t="n">
        <v>606</v>
      </c>
      <c r="B607" s="2" t="s">
        <v>2644</v>
      </c>
      <c r="C607" s="2" t="s">
        <v>2645</v>
      </c>
      <c r="D607" s="2" t="s">
        <v>13</v>
      </c>
      <c r="E607" s="2" t="s">
        <v>14</v>
      </c>
      <c r="F607" s="2" t="n">
        <v>2</v>
      </c>
      <c r="G607" s="2"/>
      <c r="H607" s="4" t="s">
        <v>21</v>
      </c>
      <c r="I607" s="2" t="s">
        <v>2646</v>
      </c>
      <c r="J607" s="2" t="s">
        <v>2647</v>
      </c>
      <c r="K607" s="2" t="s">
        <v>2648</v>
      </c>
    </row>
    <row r="608" customFormat="false" ht="15" hidden="false" customHeight="false" outlineLevel="0" collapsed="false">
      <c r="A608" s="2" t="n">
        <v>607</v>
      </c>
      <c r="B608" s="2" t="s">
        <v>2649</v>
      </c>
      <c r="C608" s="2" t="s">
        <v>2650</v>
      </c>
      <c r="D608" s="2" t="s">
        <v>13</v>
      </c>
      <c r="E608" s="2" t="s">
        <v>14</v>
      </c>
      <c r="F608" s="2" t="n">
        <v>1</v>
      </c>
      <c r="G608" s="2"/>
      <c r="H608" s="3" t="s">
        <v>15</v>
      </c>
      <c r="I608" s="2" t="s">
        <v>2651</v>
      </c>
      <c r="J608" s="2" t="s">
        <v>2652</v>
      </c>
      <c r="K608" s="2" t="s">
        <v>2653</v>
      </c>
    </row>
    <row r="609" customFormat="false" ht="15" hidden="false" customHeight="false" outlineLevel="0" collapsed="false">
      <c r="A609" s="2" t="n">
        <v>608</v>
      </c>
      <c r="B609" s="2" t="s">
        <v>2654</v>
      </c>
      <c r="C609" s="2" t="s">
        <v>2655</v>
      </c>
      <c r="D609" s="2" t="s">
        <v>13</v>
      </c>
      <c r="E609" s="2" t="s">
        <v>14</v>
      </c>
      <c r="F609" s="2" t="n">
        <v>1</v>
      </c>
      <c r="G609" s="2"/>
      <c r="H609" s="4" t="s">
        <v>21</v>
      </c>
      <c r="I609" s="2" t="s">
        <v>2400</v>
      </c>
      <c r="J609" s="2" t="s">
        <v>2656</v>
      </c>
      <c r="K609" s="2" t="s">
        <v>2657</v>
      </c>
    </row>
    <row r="610" customFormat="false" ht="15" hidden="false" customHeight="false" outlineLevel="0" collapsed="false">
      <c r="A610" s="2" t="n">
        <v>609</v>
      </c>
      <c r="B610" s="2" t="s">
        <v>2654</v>
      </c>
      <c r="C610" s="2" t="s">
        <v>2658</v>
      </c>
      <c r="D610" s="2" t="s">
        <v>13</v>
      </c>
      <c r="E610" s="2" t="s">
        <v>14</v>
      </c>
      <c r="F610" s="2" t="n">
        <v>3</v>
      </c>
      <c r="G610" s="2"/>
      <c r="H610" s="4" t="s">
        <v>21</v>
      </c>
      <c r="I610" s="2" t="s">
        <v>2659</v>
      </c>
      <c r="J610" s="2" t="s">
        <v>2660</v>
      </c>
      <c r="K610" s="2" t="s">
        <v>2661</v>
      </c>
    </row>
    <row r="611" customFormat="false" ht="15" hidden="false" customHeight="false" outlineLevel="0" collapsed="false">
      <c r="A611" s="2" t="n">
        <v>610</v>
      </c>
      <c r="B611" s="2" t="s">
        <v>2662</v>
      </c>
      <c r="C611" s="2" t="s">
        <v>2663</v>
      </c>
      <c r="D611" s="2" t="s">
        <v>13</v>
      </c>
      <c r="E611" s="2" t="s">
        <v>14</v>
      </c>
      <c r="F611" s="2" t="n">
        <v>1</v>
      </c>
      <c r="G611" s="2"/>
      <c r="H611" s="3" t="s">
        <v>15</v>
      </c>
      <c r="I611" s="2" t="s">
        <v>2664</v>
      </c>
      <c r="J611" s="2" t="s">
        <v>2665</v>
      </c>
      <c r="K611" s="2" t="s">
        <v>2666</v>
      </c>
    </row>
    <row r="612" customFormat="false" ht="15" hidden="false" customHeight="false" outlineLevel="0" collapsed="false">
      <c r="A612" s="2" t="n">
        <v>611</v>
      </c>
      <c r="B612" s="2" t="s">
        <v>2667</v>
      </c>
      <c r="C612" s="2" t="s">
        <v>2668</v>
      </c>
      <c r="D612" s="2" t="s">
        <v>61</v>
      </c>
      <c r="E612" s="2" t="s">
        <v>43</v>
      </c>
      <c r="F612" s="2" t="n">
        <v>1</v>
      </c>
      <c r="G612" s="2" t="s">
        <v>2669</v>
      </c>
      <c r="H612" s="4" t="s">
        <v>21</v>
      </c>
      <c r="I612" s="2" t="s">
        <v>1968</v>
      </c>
      <c r="J612" s="2" t="s">
        <v>2670</v>
      </c>
      <c r="K612" s="2" t="s">
        <v>2671</v>
      </c>
    </row>
    <row r="613" customFormat="false" ht="15" hidden="false" customHeight="false" outlineLevel="0" collapsed="false">
      <c r="A613" s="2" t="n">
        <v>612</v>
      </c>
      <c r="B613" s="2" t="s">
        <v>2672</v>
      </c>
      <c r="C613" s="2" t="s">
        <v>2673</v>
      </c>
      <c r="D613" s="2" t="s">
        <v>13</v>
      </c>
      <c r="E613" s="2" t="s">
        <v>14</v>
      </c>
      <c r="F613" s="2" t="n">
        <v>1</v>
      </c>
      <c r="G613" s="2"/>
      <c r="H613" s="4" t="s">
        <v>21</v>
      </c>
      <c r="I613" s="2" t="s">
        <v>2674</v>
      </c>
      <c r="J613" s="2" t="s">
        <v>2675</v>
      </c>
      <c r="K613" s="2" t="s">
        <v>2676</v>
      </c>
    </row>
    <row r="614" customFormat="false" ht="15" hidden="false" customHeight="false" outlineLevel="0" collapsed="false">
      <c r="A614" s="2" t="n">
        <v>613</v>
      </c>
      <c r="B614" s="2" t="s">
        <v>2677</v>
      </c>
      <c r="C614" s="2" t="s">
        <v>2391</v>
      </c>
      <c r="D614" s="2" t="s">
        <v>13</v>
      </c>
      <c r="E614" s="2" t="s">
        <v>14</v>
      </c>
      <c r="F614" s="2" t="n">
        <v>1</v>
      </c>
      <c r="G614" s="2"/>
      <c r="H614" s="4" t="s">
        <v>21</v>
      </c>
      <c r="I614" s="2" t="s">
        <v>210</v>
      </c>
      <c r="J614" s="2" t="s">
        <v>2678</v>
      </c>
      <c r="K614" s="2" t="s">
        <v>2679</v>
      </c>
    </row>
    <row r="615" customFormat="false" ht="15" hidden="false" customHeight="false" outlineLevel="0" collapsed="false">
      <c r="A615" s="2" t="n">
        <v>614</v>
      </c>
      <c r="B615" s="2" t="s">
        <v>2677</v>
      </c>
      <c r="C615" s="2" t="s">
        <v>2680</v>
      </c>
      <c r="D615" s="2" t="s">
        <v>61</v>
      </c>
      <c r="E615" s="2" t="s">
        <v>43</v>
      </c>
      <c r="F615" s="2" t="n">
        <v>1</v>
      </c>
      <c r="G615" s="2" t="s">
        <v>2681</v>
      </c>
      <c r="H615" s="4" t="s">
        <v>21</v>
      </c>
      <c r="I615" s="2" t="s">
        <v>216</v>
      </c>
      <c r="J615" s="2" t="s">
        <v>2682</v>
      </c>
      <c r="K615" s="2" t="s">
        <v>2683</v>
      </c>
    </row>
    <row r="616" customFormat="false" ht="15" hidden="false" customHeight="false" outlineLevel="0" collapsed="false">
      <c r="A616" s="2" t="n">
        <v>615</v>
      </c>
      <c r="B616" s="2" t="s">
        <v>2677</v>
      </c>
      <c r="C616" s="2" t="s">
        <v>2684</v>
      </c>
      <c r="D616" s="2" t="s">
        <v>61</v>
      </c>
      <c r="E616" s="2" t="s">
        <v>43</v>
      </c>
      <c r="F616" s="2" t="n">
        <v>1</v>
      </c>
      <c r="G616" s="2" t="s">
        <v>2685</v>
      </c>
      <c r="H616" s="4" t="s">
        <v>21</v>
      </c>
      <c r="I616" s="2" t="s">
        <v>959</v>
      </c>
      <c r="J616" s="2" t="s">
        <v>2686</v>
      </c>
      <c r="K616" s="2" t="s">
        <v>2687</v>
      </c>
    </row>
    <row r="617" customFormat="false" ht="15" hidden="false" customHeight="false" outlineLevel="0" collapsed="false">
      <c r="A617" s="2" t="n">
        <v>616</v>
      </c>
      <c r="B617" s="2" t="s">
        <v>2677</v>
      </c>
      <c r="C617" s="2" t="s">
        <v>2688</v>
      </c>
      <c r="D617" s="2" t="s">
        <v>13</v>
      </c>
      <c r="E617" s="2" t="s">
        <v>14</v>
      </c>
      <c r="F617" s="2" t="n">
        <v>1</v>
      </c>
      <c r="G617" s="2"/>
      <c r="H617" s="4" t="s">
        <v>21</v>
      </c>
      <c r="I617" s="2" t="s">
        <v>2689</v>
      </c>
      <c r="J617" s="2" t="s">
        <v>2690</v>
      </c>
      <c r="K617" s="2" t="s">
        <v>2691</v>
      </c>
    </row>
    <row r="618" customFormat="false" ht="15" hidden="false" customHeight="false" outlineLevel="0" collapsed="false">
      <c r="A618" s="2" t="n">
        <v>617</v>
      </c>
      <c r="B618" s="2" t="s">
        <v>2677</v>
      </c>
      <c r="C618" s="2" t="s">
        <v>2692</v>
      </c>
      <c r="D618" s="2" t="s">
        <v>98</v>
      </c>
      <c r="E618" s="2" t="s">
        <v>14</v>
      </c>
      <c r="F618" s="2" t="n">
        <v>2</v>
      </c>
      <c r="G618" s="2"/>
      <c r="H618" s="4" t="s">
        <v>21</v>
      </c>
      <c r="I618" s="2" t="s">
        <v>2693</v>
      </c>
      <c r="J618" s="2" t="s">
        <v>2694</v>
      </c>
      <c r="K618" s="2" t="s">
        <v>2695</v>
      </c>
    </row>
    <row r="619" customFormat="false" ht="15" hidden="false" customHeight="false" outlineLevel="0" collapsed="false">
      <c r="A619" s="2" t="n">
        <v>618</v>
      </c>
      <c r="B619" s="2" t="s">
        <v>2696</v>
      </c>
      <c r="C619" s="2" t="s">
        <v>2697</v>
      </c>
      <c r="D619" s="2" t="s">
        <v>13</v>
      </c>
      <c r="E619" s="2" t="s">
        <v>14</v>
      </c>
      <c r="F619" s="2" t="n">
        <v>1</v>
      </c>
      <c r="G619" s="2"/>
      <c r="H619" s="4" t="s">
        <v>21</v>
      </c>
      <c r="I619" s="2" t="s">
        <v>2698</v>
      </c>
      <c r="J619" s="2" t="s">
        <v>2699</v>
      </c>
      <c r="K619" s="2" t="s">
        <v>2700</v>
      </c>
    </row>
    <row r="620" customFormat="false" ht="15" hidden="false" customHeight="false" outlineLevel="0" collapsed="false">
      <c r="A620" s="2" t="n">
        <v>619</v>
      </c>
      <c r="B620" s="2" t="s">
        <v>2701</v>
      </c>
      <c r="C620" s="2" t="s">
        <v>2654</v>
      </c>
      <c r="D620" s="2" t="s">
        <v>61</v>
      </c>
      <c r="E620" s="2" t="s">
        <v>43</v>
      </c>
      <c r="F620" s="2" t="n">
        <v>1</v>
      </c>
      <c r="G620" s="2" t="s">
        <v>2702</v>
      </c>
      <c r="H620" s="3" t="s">
        <v>15</v>
      </c>
      <c r="I620" s="2" t="s">
        <v>1388</v>
      </c>
      <c r="J620" s="2" t="s">
        <v>2703</v>
      </c>
      <c r="K620" s="2"/>
    </row>
    <row r="621" customFormat="false" ht="15" hidden="false" customHeight="false" outlineLevel="0" collapsed="false">
      <c r="A621" s="2" t="n">
        <v>620</v>
      </c>
      <c r="B621" s="2" t="s">
        <v>2033</v>
      </c>
      <c r="C621" s="2" t="s">
        <v>2704</v>
      </c>
      <c r="D621" s="2" t="s">
        <v>20</v>
      </c>
      <c r="E621" s="2" t="s">
        <v>14</v>
      </c>
      <c r="F621" s="2" t="n">
        <v>1</v>
      </c>
      <c r="G621" s="2"/>
      <c r="H621" s="4" t="s">
        <v>21</v>
      </c>
      <c r="I621" s="2" t="s">
        <v>2705</v>
      </c>
      <c r="J621" s="2" t="s">
        <v>2706</v>
      </c>
      <c r="K621" s="2" t="s">
        <v>2707</v>
      </c>
    </row>
    <row r="622" customFormat="false" ht="15" hidden="false" customHeight="false" outlineLevel="0" collapsed="false">
      <c r="A622" s="2" t="n">
        <v>621</v>
      </c>
      <c r="B622" s="2" t="s">
        <v>1722</v>
      </c>
      <c r="C622" s="2" t="s">
        <v>2708</v>
      </c>
      <c r="D622" s="2" t="s">
        <v>61</v>
      </c>
      <c r="E622" s="2" t="s">
        <v>43</v>
      </c>
      <c r="F622" s="2" t="n">
        <v>1</v>
      </c>
      <c r="G622" s="2" t="s">
        <v>2709</v>
      </c>
      <c r="H622" s="4" t="s">
        <v>21</v>
      </c>
      <c r="I622" s="2" t="s">
        <v>2710</v>
      </c>
      <c r="J622" s="2" t="s">
        <v>2711</v>
      </c>
      <c r="K622" s="2" t="s">
        <v>2712</v>
      </c>
    </row>
    <row r="623" customFormat="false" ht="15" hidden="false" customHeight="false" outlineLevel="0" collapsed="false">
      <c r="A623" s="2" t="n">
        <v>622</v>
      </c>
      <c r="B623" s="2" t="s">
        <v>2713</v>
      </c>
      <c r="C623" s="2" t="s">
        <v>2714</v>
      </c>
      <c r="D623" s="2" t="s">
        <v>2715</v>
      </c>
      <c r="E623" s="2" t="s">
        <v>182</v>
      </c>
      <c r="F623" s="2" t="n">
        <v>3</v>
      </c>
      <c r="G623" s="2" t="s">
        <v>2716</v>
      </c>
      <c r="H623" s="4" t="s">
        <v>21</v>
      </c>
      <c r="I623" s="2" t="s">
        <v>2717</v>
      </c>
      <c r="J623" s="2" t="s">
        <v>2718</v>
      </c>
      <c r="K623" s="2" t="s">
        <v>2719</v>
      </c>
    </row>
    <row r="624" customFormat="false" ht="15" hidden="false" customHeight="false" outlineLevel="0" collapsed="false">
      <c r="A624" s="2" t="n">
        <v>623</v>
      </c>
      <c r="B624" s="2" t="s">
        <v>2720</v>
      </c>
      <c r="C624" s="2" t="s">
        <v>2721</v>
      </c>
      <c r="D624" s="2" t="s">
        <v>13</v>
      </c>
      <c r="E624" s="2" t="s">
        <v>14</v>
      </c>
      <c r="F624" s="2" t="n">
        <v>1</v>
      </c>
      <c r="G624" s="2"/>
      <c r="H624" s="4" t="s">
        <v>21</v>
      </c>
      <c r="I624" s="2" t="s">
        <v>2722</v>
      </c>
      <c r="J624" s="2" t="s">
        <v>2723</v>
      </c>
      <c r="K624" s="2" t="s">
        <v>2724</v>
      </c>
    </row>
    <row r="625" customFormat="false" ht="15" hidden="false" customHeight="false" outlineLevel="0" collapsed="false">
      <c r="A625" s="2" t="n">
        <v>624</v>
      </c>
      <c r="B625" s="2" t="s">
        <v>2725</v>
      </c>
      <c r="C625" s="2" t="s">
        <v>2726</v>
      </c>
      <c r="D625" s="2" t="s">
        <v>61</v>
      </c>
      <c r="E625" s="2" t="s">
        <v>43</v>
      </c>
      <c r="F625" s="2" t="n">
        <v>2</v>
      </c>
      <c r="G625" s="2" t="s">
        <v>2727</v>
      </c>
      <c r="H625" s="4" t="s">
        <v>21</v>
      </c>
      <c r="I625" s="2" t="s">
        <v>2728</v>
      </c>
      <c r="J625" s="2" t="s">
        <v>2729</v>
      </c>
      <c r="K625" s="2" t="s">
        <v>2730</v>
      </c>
    </row>
    <row r="626" customFormat="false" ht="15" hidden="false" customHeight="false" outlineLevel="0" collapsed="false">
      <c r="A626" s="2" t="n">
        <v>625</v>
      </c>
      <c r="B626" s="2" t="s">
        <v>2731</v>
      </c>
      <c r="C626" s="2" t="s">
        <v>351</v>
      </c>
      <c r="D626" s="2" t="s">
        <v>13</v>
      </c>
      <c r="E626" s="2" t="s">
        <v>14</v>
      </c>
      <c r="F626" s="2" t="n">
        <v>1</v>
      </c>
      <c r="G626" s="2"/>
      <c r="H626" s="4" t="s">
        <v>21</v>
      </c>
      <c r="I626" s="2" t="s">
        <v>2732</v>
      </c>
      <c r="J626" s="2" t="s">
        <v>2733</v>
      </c>
      <c r="K626" s="2" t="s">
        <v>2734</v>
      </c>
    </row>
    <row r="627" customFormat="false" ht="15" hidden="false" customHeight="false" outlineLevel="0" collapsed="false">
      <c r="A627" s="2" t="n">
        <v>626</v>
      </c>
      <c r="B627" s="2" t="s">
        <v>2735</v>
      </c>
      <c r="C627" s="2" t="s">
        <v>2736</v>
      </c>
      <c r="D627" s="2" t="s">
        <v>20</v>
      </c>
      <c r="E627" s="2" t="s">
        <v>14</v>
      </c>
      <c r="F627" s="2" t="n">
        <v>1</v>
      </c>
      <c r="G627" s="2"/>
      <c r="H627" s="5" t="s">
        <v>45</v>
      </c>
      <c r="I627" s="2" t="s">
        <v>2737</v>
      </c>
      <c r="J627" s="2" t="s">
        <v>2738</v>
      </c>
      <c r="K627" s="2" t="s">
        <v>2739</v>
      </c>
    </row>
    <row r="628" customFormat="false" ht="15" hidden="false" customHeight="false" outlineLevel="0" collapsed="false">
      <c r="A628" s="2" t="n">
        <v>627</v>
      </c>
      <c r="B628" s="2" t="s">
        <v>2740</v>
      </c>
      <c r="C628" s="2" t="s">
        <v>1089</v>
      </c>
      <c r="D628" s="2" t="s">
        <v>13</v>
      </c>
      <c r="E628" s="2" t="s">
        <v>14</v>
      </c>
      <c r="F628" s="2" t="n">
        <v>1</v>
      </c>
      <c r="G628" s="2"/>
      <c r="H628" s="3" t="s">
        <v>15</v>
      </c>
      <c r="I628" s="2" t="s">
        <v>343</v>
      </c>
      <c r="J628" s="2" t="s">
        <v>2741</v>
      </c>
      <c r="K628" s="2"/>
    </row>
    <row r="629" customFormat="false" ht="15" hidden="false" customHeight="false" outlineLevel="0" collapsed="false">
      <c r="A629" s="2" t="n">
        <v>628</v>
      </c>
      <c r="B629" s="2" t="s">
        <v>2742</v>
      </c>
      <c r="C629" s="2" t="s">
        <v>2743</v>
      </c>
      <c r="D629" s="2" t="s">
        <v>2547</v>
      </c>
      <c r="E629" s="2" t="s">
        <v>182</v>
      </c>
      <c r="F629" s="2" t="n">
        <v>10</v>
      </c>
      <c r="G629" s="2" t="s">
        <v>2744</v>
      </c>
      <c r="H629" s="4" t="s">
        <v>21</v>
      </c>
      <c r="I629" s="2" t="s">
        <v>2745</v>
      </c>
      <c r="J629" s="2" t="s">
        <v>2746</v>
      </c>
      <c r="K629" s="2" t="s">
        <v>2747</v>
      </c>
    </row>
    <row r="630" customFormat="false" ht="15" hidden="false" customHeight="false" outlineLevel="0" collapsed="false">
      <c r="A630" s="2" t="n">
        <v>629</v>
      </c>
      <c r="B630" s="2" t="s">
        <v>2742</v>
      </c>
      <c r="C630" s="2" t="s">
        <v>2748</v>
      </c>
      <c r="D630" s="2" t="s">
        <v>2547</v>
      </c>
      <c r="E630" s="2" t="s">
        <v>182</v>
      </c>
      <c r="F630" s="2" t="n">
        <v>3</v>
      </c>
      <c r="G630" s="2" t="s">
        <v>2749</v>
      </c>
      <c r="H630" s="4" t="s">
        <v>21</v>
      </c>
      <c r="I630" s="2" t="s">
        <v>2750</v>
      </c>
      <c r="J630" s="2" t="s">
        <v>2751</v>
      </c>
      <c r="K630" s="2" t="s">
        <v>2752</v>
      </c>
    </row>
    <row r="631" customFormat="false" ht="15" hidden="false" customHeight="false" outlineLevel="0" collapsed="false">
      <c r="A631" s="2" t="n">
        <v>630</v>
      </c>
      <c r="B631" s="2" t="s">
        <v>2742</v>
      </c>
      <c r="C631" s="2" t="s">
        <v>2753</v>
      </c>
      <c r="D631" s="2" t="s">
        <v>258</v>
      </c>
      <c r="E631" s="2" t="s">
        <v>43</v>
      </c>
      <c r="F631" s="2" t="n">
        <v>2</v>
      </c>
      <c r="G631" s="2" t="s">
        <v>2754</v>
      </c>
      <c r="H631" s="4" t="s">
        <v>21</v>
      </c>
      <c r="I631" s="2" t="s">
        <v>768</v>
      </c>
      <c r="J631" s="2" t="s">
        <v>2755</v>
      </c>
      <c r="K631" s="2" t="s">
        <v>2756</v>
      </c>
    </row>
    <row r="632" customFormat="false" ht="15" hidden="false" customHeight="false" outlineLevel="0" collapsed="false">
      <c r="A632" s="2" t="n">
        <v>631</v>
      </c>
      <c r="B632" s="2" t="s">
        <v>2742</v>
      </c>
      <c r="C632" s="2" t="s">
        <v>2757</v>
      </c>
      <c r="D632" s="2" t="s">
        <v>13</v>
      </c>
      <c r="E632" s="2" t="s">
        <v>14</v>
      </c>
      <c r="F632" s="2" t="n">
        <v>1</v>
      </c>
      <c r="G632" s="2"/>
      <c r="H632" s="3" t="s">
        <v>15</v>
      </c>
      <c r="I632" s="2" t="s">
        <v>343</v>
      </c>
      <c r="J632" s="2" t="s">
        <v>2758</v>
      </c>
      <c r="K632" s="2"/>
    </row>
    <row r="633" customFormat="false" ht="15" hidden="false" customHeight="false" outlineLevel="0" collapsed="false">
      <c r="A633" s="2" t="n">
        <v>632</v>
      </c>
      <c r="B633" s="2" t="s">
        <v>2742</v>
      </c>
      <c r="C633" s="2" t="s">
        <v>2759</v>
      </c>
      <c r="D633" s="2" t="s">
        <v>42</v>
      </c>
      <c r="E633" s="2" t="s">
        <v>43</v>
      </c>
      <c r="F633" s="2" t="n">
        <v>1</v>
      </c>
      <c r="G633" s="2" t="s">
        <v>2760</v>
      </c>
      <c r="H633" s="5" t="s">
        <v>45</v>
      </c>
      <c r="I633" s="2" t="s">
        <v>2761</v>
      </c>
      <c r="J633" s="2" t="s">
        <v>47</v>
      </c>
      <c r="K633" s="2"/>
    </row>
    <row r="634" customFormat="false" ht="15" hidden="false" customHeight="false" outlineLevel="0" collapsed="false">
      <c r="A634" s="2" t="n">
        <v>633</v>
      </c>
      <c r="B634" s="2" t="s">
        <v>2762</v>
      </c>
      <c r="C634" s="2" t="s">
        <v>2763</v>
      </c>
      <c r="D634" s="2" t="s">
        <v>13</v>
      </c>
      <c r="E634" s="2" t="s">
        <v>14</v>
      </c>
      <c r="F634" s="2" t="n">
        <v>1</v>
      </c>
      <c r="G634" s="2"/>
      <c r="H634" s="3" t="s">
        <v>15</v>
      </c>
      <c r="I634" s="2" t="s">
        <v>343</v>
      </c>
      <c r="J634" s="2" t="s">
        <v>2764</v>
      </c>
      <c r="K634" s="2"/>
    </row>
    <row r="635" customFormat="false" ht="15" hidden="false" customHeight="false" outlineLevel="0" collapsed="false">
      <c r="A635" s="2" t="n">
        <v>634</v>
      </c>
      <c r="B635" s="2" t="s">
        <v>2762</v>
      </c>
      <c r="C635" s="2" t="s">
        <v>2765</v>
      </c>
      <c r="D635" s="2" t="s">
        <v>20</v>
      </c>
      <c r="E635" s="2" t="s">
        <v>14</v>
      </c>
      <c r="F635" s="2" t="n">
        <v>1</v>
      </c>
      <c r="G635" s="2"/>
      <c r="H635" s="3" t="s">
        <v>15</v>
      </c>
      <c r="I635" s="2" t="s">
        <v>2766</v>
      </c>
      <c r="J635" s="2" t="s">
        <v>2767</v>
      </c>
      <c r="K635" s="2"/>
    </row>
    <row r="636" customFormat="false" ht="15" hidden="false" customHeight="false" outlineLevel="0" collapsed="false">
      <c r="A636" s="2" t="n">
        <v>635</v>
      </c>
      <c r="B636" s="2" t="s">
        <v>2768</v>
      </c>
      <c r="C636" s="2" t="s">
        <v>1236</v>
      </c>
      <c r="D636" s="2" t="s">
        <v>61</v>
      </c>
      <c r="E636" s="2" t="s">
        <v>43</v>
      </c>
      <c r="F636" s="2" t="n">
        <v>2</v>
      </c>
      <c r="G636" s="2" t="s">
        <v>2769</v>
      </c>
      <c r="H636" s="4" t="s">
        <v>21</v>
      </c>
      <c r="I636" s="2" t="s">
        <v>2770</v>
      </c>
      <c r="J636" s="2" t="s">
        <v>2771</v>
      </c>
      <c r="K636" s="2" t="s">
        <v>2772</v>
      </c>
    </row>
    <row r="637" customFormat="false" ht="15" hidden="false" customHeight="false" outlineLevel="0" collapsed="false">
      <c r="A637" s="2" t="n">
        <v>636</v>
      </c>
      <c r="B637" s="2" t="s">
        <v>2773</v>
      </c>
      <c r="C637" s="2" t="s">
        <v>2774</v>
      </c>
      <c r="D637" s="2" t="s">
        <v>13</v>
      </c>
      <c r="E637" s="2" t="s">
        <v>14</v>
      </c>
      <c r="F637" s="2" t="n">
        <v>1</v>
      </c>
      <c r="G637" s="2"/>
      <c r="H637" s="4" t="s">
        <v>21</v>
      </c>
      <c r="I637" s="2" t="s">
        <v>2775</v>
      </c>
      <c r="J637" s="2" t="s">
        <v>2776</v>
      </c>
      <c r="K637" s="2" t="s">
        <v>2777</v>
      </c>
    </row>
    <row r="638" customFormat="false" ht="15" hidden="false" customHeight="false" outlineLevel="0" collapsed="false">
      <c r="A638" s="2" t="n">
        <v>637</v>
      </c>
      <c r="B638" s="2" t="s">
        <v>2773</v>
      </c>
      <c r="C638" s="2" t="s">
        <v>2778</v>
      </c>
      <c r="D638" s="2" t="s">
        <v>61</v>
      </c>
      <c r="E638" s="2" t="s">
        <v>43</v>
      </c>
      <c r="F638" s="2" t="n">
        <v>1</v>
      </c>
      <c r="G638" s="2" t="s">
        <v>2779</v>
      </c>
      <c r="H638" s="3" t="s">
        <v>15</v>
      </c>
      <c r="I638" s="2" t="s">
        <v>2780</v>
      </c>
      <c r="J638" s="2" t="s">
        <v>2781</v>
      </c>
      <c r="K638" s="2"/>
    </row>
    <row r="639" customFormat="false" ht="15" hidden="false" customHeight="false" outlineLevel="0" collapsed="false">
      <c r="A639" s="2" t="n">
        <v>638</v>
      </c>
      <c r="B639" s="2" t="s">
        <v>2773</v>
      </c>
      <c r="C639" s="2" t="s">
        <v>2782</v>
      </c>
      <c r="D639" s="2" t="s">
        <v>13</v>
      </c>
      <c r="E639" s="2" t="s">
        <v>14</v>
      </c>
      <c r="F639" s="2" t="n">
        <v>2</v>
      </c>
      <c r="G639" s="2"/>
      <c r="H639" s="4" t="s">
        <v>21</v>
      </c>
      <c r="I639" s="2" t="s">
        <v>114</v>
      </c>
      <c r="J639" s="2" t="s">
        <v>2783</v>
      </c>
      <c r="K639" s="2" t="s">
        <v>2784</v>
      </c>
    </row>
    <row r="640" customFormat="false" ht="15" hidden="false" customHeight="false" outlineLevel="0" collapsed="false">
      <c r="A640" s="2" t="n">
        <v>639</v>
      </c>
      <c r="B640" s="2" t="s">
        <v>2773</v>
      </c>
      <c r="C640" s="2" t="s">
        <v>2785</v>
      </c>
      <c r="D640" s="2" t="s">
        <v>20</v>
      </c>
      <c r="E640" s="2" t="s">
        <v>14</v>
      </c>
      <c r="F640" s="2" t="n">
        <v>1</v>
      </c>
      <c r="G640" s="2"/>
      <c r="H640" s="5" t="s">
        <v>45</v>
      </c>
      <c r="I640" s="2" t="s">
        <v>2786</v>
      </c>
      <c r="J640" s="2" t="s">
        <v>2787</v>
      </c>
      <c r="K640" s="2" t="s">
        <v>2788</v>
      </c>
    </row>
    <row r="641" customFormat="false" ht="15" hidden="false" customHeight="false" outlineLevel="0" collapsed="false">
      <c r="A641" s="2" t="n">
        <v>640</v>
      </c>
      <c r="B641" s="2" t="s">
        <v>2773</v>
      </c>
      <c r="C641" s="2" t="s">
        <v>1516</v>
      </c>
      <c r="D641" s="2" t="s">
        <v>61</v>
      </c>
      <c r="E641" s="2" t="s">
        <v>43</v>
      </c>
      <c r="F641" s="2" t="n">
        <v>1</v>
      </c>
      <c r="G641" s="2" t="s">
        <v>2789</v>
      </c>
      <c r="H641" s="4" t="s">
        <v>21</v>
      </c>
      <c r="I641" s="2" t="s">
        <v>2790</v>
      </c>
      <c r="J641" s="2" t="s">
        <v>2791</v>
      </c>
      <c r="K641" s="2" t="s">
        <v>2792</v>
      </c>
    </row>
    <row r="642" customFormat="false" ht="15" hidden="false" customHeight="false" outlineLevel="0" collapsed="false">
      <c r="A642" s="2" t="n">
        <v>641</v>
      </c>
      <c r="B642" s="2" t="s">
        <v>2793</v>
      </c>
      <c r="C642" s="2" t="s">
        <v>2794</v>
      </c>
      <c r="D642" s="2" t="s">
        <v>61</v>
      </c>
      <c r="E642" s="2" t="s">
        <v>43</v>
      </c>
      <c r="F642" s="2" t="n">
        <v>1</v>
      </c>
      <c r="G642" s="2" t="s">
        <v>2795</v>
      </c>
      <c r="H642" s="4" t="s">
        <v>21</v>
      </c>
      <c r="I642" s="2" t="s">
        <v>2796</v>
      </c>
      <c r="J642" s="2" t="s">
        <v>2797</v>
      </c>
      <c r="K642" s="2" t="s">
        <v>2798</v>
      </c>
    </row>
    <row r="643" customFormat="false" ht="15" hidden="false" customHeight="false" outlineLevel="0" collapsed="false">
      <c r="A643" s="2" t="n">
        <v>642</v>
      </c>
      <c r="B643" s="2" t="s">
        <v>2793</v>
      </c>
      <c r="C643" s="2" t="s">
        <v>2763</v>
      </c>
      <c r="D643" s="2" t="s">
        <v>20</v>
      </c>
      <c r="E643" s="2" t="s">
        <v>14</v>
      </c>
      <c r="F643" s="2" t="n">
        <v>1</v>
      </c>
      <c r="G643" s="2"/>
      <c r="H643" s="5" t="s">
        <v>45</v>
      </c>
      <c r="I643" s="2" t="s">
        <v>2799</v>
      </c>
      <c r="J643" s="2" t="s">
        <v>2800</v>
      </c>
      <c r="K643" s="2" t="s">
        <v>2801</v>
      </c>
    </row>
    <row r="644" customFormat="false" ht="15" hidden="false" customHeight="false" outlineLevel="0" collapsed="false">
      <c r="A644" s="2" t="n">
        <v>643</v>
      </c>
      <c r="B644" s="2" t="s">
        <v>2793</v>
      </c>
      <c r="C644" s="2" t="s">
        <v>2802</v>
      </c>
      <c r="D644" s="2" t="s">
        <v>61</v>
      </c>
      <c r="E644" s="2" t="s">
        <v>43</v>
      </c>
      <c r="F644" s="2" t="n">
        <v>3</v>
      </c>
      <c r="G644" s="2" t="s">
        <v>2803</v>
      </c>
      <c r="H644" s="4" t="s">
        <v>21</v>
      </c>
      <c r="I644" s="2" t="s">
        <v>2804</v>
      </c>
      <c r="J644" s="2" t="s">
        <v>2805</v>
      </c>
      <c r="K644" s="2" t="s">
        <v>2806</v>
      </c>
    </row>
    <row r="645" customFormat="false" ht="15" hidden="false" customHeight="false" outlineLevel="0" collapsed="false">
      <c r="A645" s="2" t="n">
        <v>644</v>
      </c>
      <c r="B645" s="2" t="s">
        <v>2793</v>
      </c>
      <c r="C645" s="2" t="s">
        <v>2807</v>
      </c>
      <c r="D645" s="2" t="s">
        <v>20</v>
      </c>
      <c r="E645" s="2" t="s">
        <v>14</v>
      </c>
      <c r="F645" s="2" t="n">
        <v>1</v>
      </c>
      <c r="G645" s="2"/>
      <c r="H645" s="5" t="s">
        <v>45</v>
      </c>
      <c r="I645" s="2" t="s">
        <v>2808</v>
      </c>
      <c r="J645" s="2" t="s">
        <v>2809</v>
      </c>
      <c r="K645" s="2" t="s">
        <v>2810</v>
      </c>
    </row>
    <row r="646" customFormat="false" ht="15" hidden="false" customHeight="false" outlineLevel="0" collapsed="false">
      <c r="A646" s="2" t="n">
        <v>645</v>
      </c>
      <c r="B646" s="2" t="s">
        <v>2811</v>
      </c>
      <c r="C646" s="2" t="s">
        <v>2812</v>
      </c>
      <c r="D646" s="2" t="s">
        <v>13</v>
      </c>
      <c r="E646" s="2" t="s">
        <v>14</v>
      </c>
      <c r="F646" s="2" t="n">
        <v>2</v>
      </c>
      <c r="G646" s="2"/>
      <c r="H646" s="4" t="s">
        <v>21</v>
      </c>
      <c r="I646" s="2" t="s">
        <v>171</v>
      </c>
      <c r="J646" s="2" t="s">
        <v>2813</v>
      </c>
      <c r="K646" s="2" t="s">
        <v>2814</v>
      </c>
    </row>
    <row r="647" customFormat="false" ht="15" hidden="false" customHeight="false" outlineLevel="0" collapsed="false">
      <c r="A647" s="2" t="n">
        <v>646</v>
      </c>
      <c r="B647" s="2" t="s">
        <v>2815</v>
      </c>
      <c r="C647" s="2" t="s">
        <v>1204</v>
      </c>
      <c r="D647" s="2" t="s">
        <v>13</v>
      </c>
      <c r="E647" s="2" t="s">
        <v>14</v>
      </c>
      <c r="F647" s="2" t="n">
        <v>3</v>
      </c>
      <c r="G647" s="2"/>
      <c r="H647" s="4" t="s">
        <v>21</v>
      </c>
      <c r="I647" s="2" t="s">
        <v>1345</v>
      </c>
      <c r="J647" s="2" t="s">
        <v>2816</v>
      </c>
      <c r="K647" s="2" t="s">
        <v>2817</v>
      </c>
    </row>
    <row r="648" customFormat="false" ht="15" hidden="false" customHeight="false" outlineLevel="0" collapsed="false">
      <c r="A648" s="2" t="n">
        <v>647</v>
      </c>
      <c r="B648" s="2" t="s">
        <v>2818</v>
      </c>
      <c r="C648" s="2" t="s">
        <v>1481</v>
      </c>
      <c r="D648" s="2" t="s">
        <v>13</v>
      </c>
      <c r="E648" s="2" t="s">
        <v>14</v>
      </c>
      <c r="F648" s="2" t="n">
        <v>2</v>
      </c>
      <c r="G648" s="2"/>
      <c r="H648" s="4" t="s">
        <v>21</v>
      </c>
      <c r="I648" s="2" t="s">
        <v>2819</v>
      </c>
      <c r="J648" s="2" t="s">
        <v>2820</v>
      </c>
      <c r="K648" s="2" t="s">
        <v>2821</v>
      </c>
    </row>
  </sheetData>
  <autoFilter ref="A1:K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6" t="s">
        <v>2822</v>
      </c>
      <c r="B1" s="6" t="s">
        <v>2823</v>
      </c>
    </row>
    <row r="2" customFormat="false" ht="15" hidden="false" customHeight="false" outlineLevel="0" collapsed="false">
      <c r="A2" s="7" t="s">
        <v>21</v>
      </c>
      <c r="B2" s="7" t="n">
        <f aca="false">COUNTIF('Master list'!H2:H648,"Confirmed")</f>
        <v>361</v>
      </c>
    </row>
    <row r="3" customFormat="false" ht="15" hidden="false" customHeight="false" outlineLevel="0" collapsed="false">
      <c r="A3" s="7" t="s">
        <v>15</v>
      </c>
      <c r="B3" s="7" t="n">
        <f aca="false">COUNTIF('Master list'!H2:H648,"Possible")</f>
        <v>209</v>
      </c>
    </row>
    <row r="4" customFormat="false" ht="15" hidden="false" customHeight="false" outlineLevel="0" collapsed="false">
      <c r="A4" s="7" t="s">
        <v>45</v>
      </c>
      <c r="B4" s="7" t="n">
        <f aca="false">COUNTIF('Master list'!H2:H648,"Negative")</f>
        <v>77</v>
      </c>
    </row>
    <row r="5" customFormat="false" ht="15" hidden="false" customHeight="false" outlineLevel="0" collapsed="false">
      <c r="A5" s="7" t="s">
        <v>2824</v>
      </c>
      <c r="B5" s="7" t="n">
        <f aca="false">COUNTIF('Master list'!H2:H648,"Not yet checked")</f>
        <v>0</v>
      </c>
    </row>
    <row r="6" customFormat="false" ht="15" hidden="false" customHeight="false" outlineLevel="0" collapsed="false">
      <c r="A6" s="7" t="s">
        <v>2825</v>
      </c>
      <c r="B6" s="7" t="n">
        <f aca="false">SUM(B2:B5)</f>
        <v>647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7" t="s">
        <v>2826</v>
      </c>
      <c r="B8" s="7"/>
    </row>
    <row r="9" customFormat="false" ht="15" hidden="false" customHeight="false" outlineLevel="0" collapsed="false">
      <c r="A9" s="7" t="s">
        <v>2827</v>
      </c>
      <c r="B9" s="7"/>
    </row>
    <row r="10" customFormat="false" ht="15" hidden="false" customHeight="false" outlineLevel="0" collapsed="false">
      <c r="A10" s="7" t="s">
        <v>2828</v>
      </c>
      <c r="B10" s="7"/>
    </row>
    <row r="11" customFormat="false" ht="15" hidden="false" customHeight="false" outlineLevel="0" collapsed="false">
      <c r="A11" s="7" t="s">
        <v>2829</v>
      </c>
      <c r="B11" s="7"/>
    </row>
    <row r="12" customFormat="false" ht="15" hidden="false" customHeight="false" outlineLevel="0" collapsed="false">
      <c r="A12" s="7" t="s">
        <v>2830</v>
      </c>
      <c r="B12" s="7"/>
    </row>
    <row r="13" customFormat="false" ht="15" hidden="false" customHeight="false" outlineLevel="0" collapsed="false">
      <c r="A13" s="7" t="s">
        <v>2831</v>
      </c>
      <c r="B1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2026-10-08T16:12:42Z</dcterms:created>
  <dc:creator>openpyxl</dc:creator>
  <dc:description/>
  <dc:language>en-US</dc:language>
  <cp:lastModifiedBy/>
  <dcterms:modified xsi:type="dcterms:W3CDTF">2026-10-08T16:12:42Z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