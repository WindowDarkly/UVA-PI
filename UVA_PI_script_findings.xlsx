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dings" sheetId="1" state="visible" r:id="rId3"/>
    <sheet name="Run impact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<sst xmlns="http://schemas.openxmlformats.org/spreadsheetml/2006/main" count="89" uniqueCount="79">
  <si>
    <t xml:space="preserve">ID</t>
  </si>
  <si>
    <t xml:space="preserve">Severity</t>
  </si>
  <si>
    <t xml:space="preserve">Area</t>
  </si>
  <si>
    <t xml:space="preserve">Location (uva_pi_list.py)</t>
  </si>
  <si>
    <t xml:space="preserve">Finding</t>
  </si>
  <si>
    <t xml:space="preserve">Symptom / evidence</t>
  </si>
  <si>
    <t xml:space="preserve">Impact</t>
  </si>
  <si>
    <t xml:space="preserve">Fix applied in commit dfa0091</t>
  </si>
  <si>
    <t xml:space="preserve">Current status</t>
  </si>
  <si>
    <t xml:space="preserve">F1</t>
  </si>
  <si>
    <t xml:space="preserve">High</t>
  </si>
  <si>
    <t xml:space="preserve">NSF fetch</t>
  </si>
  <si>
    <t xml:space="preserve">fetch_nsf, line 128</t>
  </si>
  <si>
    <t xml:space="preserve">awardeeName is sent unquoted ("University of Virginia"); NSF treats this as an any-word match.</t>
  </si>
  <si>
    <t xml:space="preserve">Query reported totalCount = 10,000 (the API cap) and returned awards from other institutions (e.g. Montana State). 9,975 rows pulled.</t>
  </si>
  <si>
    <t xml:space="preserve">UVA awards beyond the 10k cap are never fetched: only 69 of 218 active UVA NSF awards were kept.</t>
  </si>
  <si>
    <t xml:space="preserve">Send awardeeName as '"University of Virginia"' (phrase match). Returns 218 awards, all UVA Main Campus.</t>
  </si>
  <si>
    <t xml:space="preserve">Reverted - bug present</t>
  </si>
  <si>
    <t xml:space="preserve">F2</t>
  </si>
  <si>
    <t xml:space="preserve">Roster build</t>
  </si>
  <si>
    <t xml:space="preserve">build_roster, line 203</t>
  </si>
  <si>
    <t xml:space="preserve">Fields aggregation filters with "if x"; NaN (missing value) is truthy, so it reaches str.join.</t>
  </si>
  <si>
    <t xml:space="preserve">TypeError: sequence item 0: expected str instance, float found. Script crashes before writing the workbook.</t>
  </si>
  <si>
    <t xml:space="preserve">No output file is produced whenever any award lacks a Field value (NIH dept_type is often blank).</t>
  </si>
  <si>
    <t xml:space="preserve">Filter with isinstance(x, str) and x.</t>
  </si>
  <si>
    <t xml:space="preserve">F3</t>
  </si>
  <si>
    <t xml:space="preserve">Medium</t>
  </si>
  <si>
    <t xml:space="preserve">NSF paging</t>
  </si>
  <si>
    <t xml:space="preserve">fetch_nsf, line 125</t>
  </si>
  <si>
    <t xml:space="preserve">Paging starts at offset 1, but the NSF API offset is 0-based.</t>
  </si>
  <si>
    <t xml:space="preserve">offset=0 and offset=1 return different first records; starting at 1 skips one award.</t>
  </si>
  <si>
    <t xml:space="preserve">One award silently dropped per run.</t>
  </si>
  <si>
    <t xml:space="preserve">Start offset at 0.</t>
  </si>
  <si>
    <t xml:space="preserve">F4</t>
  </si>
  <si>
    <t xml:space="preserve">fetch_nsf, lines 142-147</t>
  </si>
  <si>
    <t xml:space="preserve">NSF result order is not stable between page requests; rows are appended without de-duplication.</t>
  </si>
  <si>
    <t xml:space="preserve">One pass over 218 awards returned 218 rows but only 214 unique IDs.</t>
  </si>
  <si>
    <t xml:space="preserve">Duplicate award rows and ~4 missed awards per run; counts on Summary sheet are off.</t>
  </si>
  <si>
    <t xml:space="preserve">Store rows by award ID and re-page (up to 5 passes) until unique count reaches totalCount.</t>
  </si>
  <si>
    <t xml:space="preserve">F5</t>
  </si>
  <si>
    <t xml:space="preserve">Low</t>
  </si>
  <si>
    <t xml:space="preserve">fetch_nsf, printFields</t>
  </si>
  <si>
    <t xml:space="preserve">printFields is not honored by the API; full records (including abstractText) are returned.</t>
  </si>
  <si>
    <t xml:space="preserve">Responses included abstractText and other fields not requested.</t>
  </si>
  <si>
    <t xml:space="preserve">Slower, larger downloads only; parsing is unaffected.</t>
  </si>
  <si>
    <t xml:space="preserve">None (informational).</t>
  </si>
  <si>
    <t xml:space="preserve">Open - informational</t>
  </si>
  <si>
    <t xml:space="preserve">F6</t>
  </si>
  <si>
    <t xml:space="preserve">De-duplication</t>
  </si>
  <si>
    <t xml:space="preserve">norm_name / parse_nsf, line 180</t>
  </si>
  <si>
    <t xml:space="preserve">People are matched on last name + first given name; NSF Co-PI names are split on whitespace (first and last token).</t>
  </si>
  <si>
    <t xml:space="preserve">Design limitation noted in the script's own Notes sheet.</t>
  </si>
  <si>
    <t xml:space="preserve">Same-name collisions merge different people; name variants (middle names, suffixes, compound surnames) can split one person into two.</t>
  </si>
  <si>
    <t xml:space="preserve">None (needs manual review).</t>
  </si>
  <si>
    <t xml:space="preserve">Open - limitation</t>
  </si>
  <si>
    <t xml:space="preserve">F7</t>
  </si>
  <si>
    <t xml:space="preserve">Data coverage</t>
  </si>
  <si>
    <t xml:space="preserve">parse_nih, line 108; parse_nsf, line 181</t>
  </si>
  <si>
    <t xml:space="preserve">NIH RePORTER does not expose PI email; NSF provides email for the lead PI only.</t>
  </si>
  <si>
    <t xml:space="preserve">Email column is blank for all NIH-only people and all NSF Co-PIs.</t>
  </si>
  <si>
    <t xml:space="preserve">Contact info incomplete for most of the roster.</t>
  </si>
  <si>
    <t xml:space="preserve">None (API limitation).</t>
  </si>
  <si>
    <t xml:space="preserve">Metric</t>
  </si>
  <si>
    <t xml:space="preserve">Original script (as committed)</t>
  </si>
  <si>
    <t xml:space="preserve">With fixes (commit dfa0091)</t>
  </si>
  <si>
    <t xml:space="preserve">Difference</t>
  </si>
  <si>
    <t xml:space="preserve">NSF records fetched</t>
  </si>
  <si>
    <t xml:space="preserve">Active NSF awards kept</t>
  </si>
  <si>
    <t xml:space="preserve">Active NIH awards kept</t>
  </si>
  <si>
    <t xml:space="preserve">Total active awards</t>
  </si>
  <si>
    <t xml:space="preserve">Unique PIs / Co-PIs</t>
  </si>
  <si>
    <t xml:space="preserve">Unique PIs / Co-PIs flagged S&amp;T</t>
  </si>
  <si>
    <t xml:space="preserve">Original-script figures come from the run on 2026-10-07 after F2 was patched so the script could finish; with F2 unpatched it crashes and produces no output.</t>
  </si>
  <si>
    <t xml:space="preserve">Blue = values recorded from the runs on 2026-10-07; black = formulas.</t>
  </si>
  <si>
    <t xml:space="preserve">Notes</t>
  </si>
  <si>
    <t xml:space="preserve">Scope: uva_pi_list.py on branch claude/uva-pi-roster-builder-eyxlmy (WindowDarkly/UVA-PI).</t>
  </si>
  <si>
    <t xml:space="preserve">Commit 16cd60a: original script. Commit dfa0091: fixes for F1-F4. Latest commit: script reverted to 16cd60a at user request.</t>
  </si>
  <si>
    <t xml:space="preserve">UVA_PI_roster.xlsx in the repo was produced by the fixed version and does not match the current script's output.</t>
  </si>
  <si>
    <t xml:space="preserve">Evidence gathered by live queries to api.nsf.gov and api.reporter.nih.gov on 2026-10-07.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</si>
</sst>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-#,##0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E2EFDA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6" min="5" style="0" width="45"/>
    <col collapsed="false" customWidth="true" hidden="false" outlineLevel="0" max="7" min="7" style="0" width="40"/>
    <col collapsed="false" customWidth="true" hidden="false" outlineLevel="0" max="8" min="8" style="0" width="42"/>
    <col collapsed="false" customWidth="true" hidden="false" outlineLevel="0" max="9" min="9" style="0" width="2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9.55" hidden="false" customHeight="false" outlineLevel="0" collapsed="false">
      <c r="A2" s="2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customFormat="false" ht="39.55" hidden="false" customHeight="false" outlineLevel="0" collapsed="false">
      <c r="A3" s="2" t="s">
        <v>18</v>
      </c>
      <c r="B3" s="3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17</v>
      </c>
    </row>
    <row r="4" customFormat="false" ht="26.85" hidden="false" customHeight="false" outlineLevel="0" collapsed="false">
      <c r="A4" s="2" t="s">
        <v>25</v>
      </c>
      <c r="B4" s="4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17</v>
      </c>
    </row>
    <row r="5" customFormat="false" ht="39.55" hidden="false" customHeight="false" outlineLevel="0" collapsed="false">
      <c r="A5" s="2" t="s">
        <v>33</v>
      </c>
      <c r="B5" s="4" t="s">
        <v>26</v>
      </c>
      <c r="C5" s="2" t="s">
        <v>27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17</v>
      </c>
    </row>
    <row r="6" customFormat="false" ht="26.85" hidden="false" customHeight="false" outlineLevel="0" collapsed="false">
      <c r="A6" s="2" t="s">
        <v>39</v>
      </c>
      <c r="B6" s="5" t="s">
        <v>40</v>
      </c>
      <c r="C6" s="2" t="s">
        <v>11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</row>
    <row r="7" customFormat="false" ht="52.2" hidden="false" customHeight="false" outlineLevel="0" collapsed="false">
      <c r="A7" s="2" t="s">
        <v>47</v>
      </c>
      <c r="B7" s="5" t="s">
        <v>40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54</v>
      </c>
    </row>
    <row r="8" customFormat="false" ht="26.85" hidden="false" customHeight="false" outlineLevel="0" collapsed="false">
      <c r="A8" s="2" t="s">
        <v>55</v>
      </c>
      <c r="B8" s="5" t="s">
        <v>40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61</v>
      </c>
      <c r="I8" s="2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30"/>
    <col collapsed="false" customWidth="true" hidden="false" outlineLevel="0" max="4" min="4" style="0" width="14"/>
  </cols>
  <sheetData>
    <row r="1" customFormat="false" ht="26.85" hidden="false" customHeight="false" outlineLevel="0" collapsed="false">
      <c r="A1" s="1" t="s">
        <v>62</v>
      </c>
      <c r="B1" s="1" t="s">
        <v>63</v>
      </c>
      <c r="C1" s="1" t="s">
        <v>64</v>
      </c>
      <c r="D1" s="1" t="s">
        <v>65</v>
      </c>
    </row>
    <row r="2" customFormat="false" ht="15" hidden="false" customHeight="false" outlineLevel="0" collapsed="false">
      <c r="A2" s="2" t="s">
        <v>66</v>
      </c>
      <c r="B2" s="6" t="n">
        <v>9975</v>
      </c>
      <c r="C2" s="6" t="n">
        <v>218</v>
      </c>
      <c r="D2" s="7" t="n">
        <f aca="false">C2-B2</f>
        <v>-9757</v>
      </c>
    </row>
    <row r="3" customFormat="false" ht="15" hidden="false" customHeight="false" outlineLevel="0" collapsed="false">
      <c r="A3" s="2" t="s">
        <v>67</v>
      </c>
      <c r="B3" s="6" t="n">
        <v>69</v>
      </c>
      <c r="C3" s="6" t="n">
        <v>217</v>
      </c>
      <c r="D3" s="7" t="n">
        <f aca="false">C3-B3</f>
        <v>148</v>
      </c>
    </row>
    <row r="4" customFormat="false" ht="15" hidden="false" customHeight="false" outlineLevel="0" collapsed="false">
      <c r="A4" s="2" t="s">
        <v>68</v>
      </c>
      <c r="B4" s="6" t="n">
        <v>459</v>
      </c>
      <c r="C4" s="6" t="n">
        <v>459</v>
      </c>
      <c r="D4" s="7" t="n">
        <f aca="false">C4-B4</f>
        <v>0</v>
      </c>
    </row>
    <row r="5" customFormat="false" ht="15" hidden="false" customHeight="false" outlineLevel="0" collapsed="false">
      <c r="A5" s="2" t="s">
        <v>69</v>
      </c>
      <c r="B5" s="7" t="n">
        <f aca="false">B3+B4</f>
        <v>528</v>
      </c>
      <c r="C5" s="7" t="n">
        <f aca="false">C3+C4</f>
        <v>676</v>
      </c>
      <c r="D5" s="7" t="n">
        <f aca="false">C5-B5</f>
        <v>148</v>
      </c>
    </row>
    <row r="6" customFormat="false" ht="15" hidden="false" customHeight="false" outlineLevel="0" collapsed="false">
      <c r="A6" s="2" t="s">
        <v>70</v>
      </c>
      <c r="B6" s="6" t="n">
        <v>506</v>
      </c>
      <c r="C6" s="6" t="n">
        <v>696</v>
      </c>
      <c r="D6" s="7" t="n">
        <f aca="false">C6-B6</f>
        <v>190</v>
      </c>
    </row>
    <row r="7" customFormat="false" ht="15" hidden="false" customHeight="false" outlineLevel="0" collapsed="false">
      <c r="A7" s="2" t="s">
        <v>71</v>
      </c>
      <c r="B7" s="6" t="n">
        <v>495</v>
      </c>
      <c r="C7" s="6" t="n">
        <v>655</v>
      </c>
      <c r="D7" s="7" t="n">
        <f aca="false">C7-B7</f>
        <v>160</v>
      </c>
    </row>
    <row r="9" customFormat="false" ht="15" hidden="false" customHeight="false" outlineLevel="0" collapsed="false">
      <c r="A9" s="8" t="s">
        <v>72</v>
      </c>
    </row>
    <row r="10" customFormat="false" ht="15" hidden="false" customHeight="false" outlineLevel="0" collapsed="false">
      <c r="A10" s="8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75</v>
      </c>
    </row>
    <row r="3" customFormat="false" ht="15" hidden="false" customHeight="false" outlineLevel="0" collapsed="false">
      <c r="A3" s="2" t="s">
        <v>76</v>
      </c>
    </row>
    <row r="4" customFormat="false" ht="15" hidden="false" customHeight="false" outlineLevel="0" collapsed="false">
      <c r="A4" s="2" t="s">
        <v>77</v>
      </c>
    </row>
    <row r="5" customFormat="false" ht="15" hidden="false" customHeight="false" outlineLevel="0" collapsed="false">
      <c r="A5" s="2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2026-10-07T14:16:06Z</dcterms:created>
  <dc:creator>openpyxl</dc:creator>
  <dc:description/>
  <dc:language>en-US</dc:language>
  <cp:lastModifiedBy/>
  <dcterms:modified xsi:type="dcterms:W3CDTF">2026-10-07T14:16:06Z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